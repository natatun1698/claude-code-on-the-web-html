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madzu\Downloads\"/>
    </mc:Choice>
  </mc:AlternateContent>
  <xr:revisionPtr revIDLastSave="0" documentId="13_ncr:1_{5504D9FD-4DCC-432A-99D1-CF6B50F5CBB8}" xr6:coauthVersionLast="47" xr6:coauthVersionMax="47" xr10:uidLastSave="{00000000-0000-0000-0000-000000000000}"/>
  <bookViews>
    <workbookView xWindow="-108" yWindow="-108" windowWidth="23256" windowHeight="12456" tabRatio="742" firstSheet="1" activeTab="4" xr2:uid="{00000000-000D-0000-FFFF-FFFF00000000}"/>
  </bookViews>
  <sheets>
    <sheet name="Ch01_任せたい仕事" sheetId="5" r:id="rId1"/>
    <sheet name="Ch02_SIPOC_As-Is" sheetId="8" r:id="rId2"/>
    <sheet name="Ch03-04_データ・ワークフロー" sheetId="11" r:id="rId3"/>
    <sheet name="Ch05_推進体制・責任" sheetId="14" r:id="rId4"/>
    <sheet name="Ch06_5D進行チェック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5" l="1"/>
  <c r="I22" i="5" s="1"/>
  <c r="G21" i="5"/>
  <c r="I21" i="5" s="1"/>
  <c r="G20" i="5"/>
  <c r="I20" i="5" s="1"/>
  <c r="G19" i="5"/>
  <c r="I19" i="5" s="1"/>
  <c r="G18" i="5"/>
  <c r="I18" i="5" s="1"/>
  <c r="G17" i="5"/>
  <c r="I17" i="5" s="1"/>
  <c r="G16" i="5"/>
  <c r="I16" i="5" s="1"/>
  <c r="G15" i="5"/>
  <c r="I15" i="5" s="1"/>
  <c r="G14" i="5"/>
  <c r="I14" i="5" s="1"/>
  <c r="G13" i="5"/>
  <c r="I13" i="5" s="1"/>
  <c r="G12" i="5"/>
  <c r="I12" i="5" s="1"/>
  <c r="G11" i="5"/>
  <c r="I11" i="5" s="1"/>
  <c r="G10" i="5"/>
  <c r="I10" i="5" s="1"/>
</calcChain>
</file>

<file path=xl/sharedStrings.xml><?xml version="1.0" encoding="utf-8"?>
<sst xmlns="http://schemas.openxmlformats.org/spreadsheetml/2006/main" count="314" uniqueCount="235">
  <si>
    <t>記入例</t>
  </si>
  <si>
    <t>Chapter 01｜AIエージェントに任せたい仕事を考える</t>
  </si>
  <si>
    <t>AIエージェントの特徴を踏まえ、自分の現場で任せたい仕事・困りごと・期待する変化を広く出します。</t>
  </si>
  <si>
    <t>Ch01 任せたい仕事メモ</t>
  </si>
  <si>
    <t>まずは思いつく仕事を広く出し、次章で業務として分解する候補を見つけましょう。</t>
  </si>
  <si>
    <t>No.</t>
  </si>
  <si>
    <t>部門</t>
  </si>
  <si>
    <t>業務名
（大まかな業務でOK）</t>
  </si>
  <si>
    <t>困りごと・課題
（現状の問題点を具体的に）</t>
  </si>
  <si>
    <t>対象頻度</t>
  </si>
  <si>
    <t>1回あたりの
工数（分）</t>
  </si>
  <si>
    <t>月間工数
（時間）
自動計算</t>
  </si>
  <si>
    <t>期待効果
（改善の期待・インパクト）</t>
  </si>
  <si>
    <t>期待効果
（時間/月）</t>
  </si>
  <si>
    <t>優先度
（高い順）</t>
  </si>
  <si>
    <t>メモ</t>
  </si>
  <si>
    <t>Chapter 02｜SIPOC・As-Isで業務を見る</t>
  </si>
  <si>
    <t>対象業務の入口・出口・関係者・現状の流れを整理し、AIエージェント導入前に業務の全体像をつかみます。</t>
  </si>
  <si>
    <t>※ SIPOC：供給元・入力・プロセス・出力・顧客を整理する枠組み。As-Is：現状の業務フローのこと。</t>
  </si>
  <si>
    <t>対象業務</t>
  </si>
  <si>
    <t>作成日</t>
  </si>
  <si>
    <t>作成者</t>
  </si>
  <si>
    <t>SIPOC（全体像）</t>
  </si>
  <si>
    <t>SIPOC</t>
  </si>
  <si>
    <t>Supplier（供給元）
誰から受け取るか</t>
  </si>
  <si>
    <t>Input（入力）
何を受け取るか</t>
  </si>
  <si>
    <t>Process（プロセス）
どんな流れか（大まかでOK）</t>
  </si>
  <si>
    <t>Output（出力）
何を出すか</t>
  </si>
  <si>
    <t>Customer（顧客）
誰に渡すか</t>
  </si>
  <si>
    <t>As-Is業務フロー（現状の流れ）</t>
  </si>
  <si>
    <t>As-Is業務フロー</t>
  </si>
  <si>
    <t>受付</t>
  </si>
  <si>
    <t>確認</t>
  </si>
  <si>
    <t>判断</t>
  </si>
  <si>
    <t>出力</t>
  </si>
  <si>
    <t>備考</t>
  </si>
  <si>
    <t>困りごと
（問題点・課題）</t>
  </si>
  <si>
    <t>Chapter 03-04｜データとワークフローを設計する</t>
  </si>
  <si>
    <t>AIに渡す「入力データ・参照情報」と、処理の流れ「起点 / AI処理 / ツール実行 / 人の確認 / 出力データ / 記録・監査」を整理します。</t>
  </si>
  <si>
    <t>まず日本語の項目名を見て、必要に応じて括弧内の英語を参照してください。起点から出力まで、1行ずつ流れを追うと整理しやすくなります。</t>
  </si>
  <si>
    <t>Ch03-04 データ・ワークフロー設計キャンバス</t>
  </si>
  <si>
    <t>対象業務：</t>
  </si>
  <si>
    <t>作成日：</t>
  </si>
  <si>
    <t>作成者：</t>
  </si>
  <si>
    <t>項目</t>
  </si>
  <si>
    <t>内容・概要
（何をするか）</t>
  </si>
  <si>
    <t>データ・情報
（主な入力／出力）</t>
  </si>
  <si>
    <t>AI／ツール・方法</t>
  </si>
  <si>
    <t>担当
（AI／人）</t>
  </si>
  <si>
    <t>確認条件・品質基準</t>
  </si>
  <si>
    <t>1 起点（Trigger）</t>
  </si>
  <si>
    <t>2 入力データ（Input Data）</t>
  </si>
  <si>
    <t>3 参照情報（Reference）</t>
  </si>
  <si>
    <t>4 AI処理（AI Process）</t>
  </si>
  <si>
    <t>5 ツール実行（Tool Action）</t>
  </si>
  <si>
    <t>6 人の確認（Human Check）</t>
  </si>
  <si>
    <t>7 出力データ（Output）</t>
  </si>
  <si>
    <t>8 記録・監査（Log &amp; Audit）</t>
  </si>
  <si>
    <t>入力：
出力：</t>
  </si>
  <si>
    <t>・使用するAI／ツール
・方法／プロンプト等</t>
  </si>
  <si>
    <t>・確認条件
・OKの基準</t>
  </si>
  <si>
    <t>Chapter 05｜推進体制と責任を決める</t>
  </si>
  <si>
    <t>組織としてAIエージェントを動かすために、関係者・責任構造・確認者・意思決定者を明確にします。</t>
  </si>
  <si>
    <t>Ch05 役割・責任マトリクス（RACI）</t>
  </si>
  <si>
    <t>各タスクに対して、誰が実行し、誰が承認し、誰に相談・共有するかを整理します。</t>
  </si>
  <si>
    <t>R：実行責任（Responsible）　A：最終責任（Accountable）　C：相談先（Consulted）　I：情報共有先（Informed）</t>
  </si>
  <si>
    <t>タスク（やること）</t>
  </si>
  <si>
    <t>業務部門
（担当者）</t>
  </si>
  <si>
    <t>業務部門
（マネージャー）</t>
  </si>
  <si>
    <t>IT部門
（開発リード）</t>
  </si>
  <si>
    <t>IT部門
（運用・インフラ）</t>
  </si>
  <si>
    <t>データ・セキュリティ
担当</t>
  </si>
  <si>
    <t>経営層
（意思決定者）</t>
  </si>
  <si>
    <t>外部ベンダー
（パートナー）</t>
  </si>
  <si>
    <t>要件定義・業務整理</t>
  </si>
  <si>
    <t>AIソリューション選定</t>
  </si>
  <si>
    <t>設計・プロトタイプ開発</t>
  </si>
  <si>
    <t>本番開発・テスト</t>
  </si>
  <si>
    <t>データ準備・連携</t>
  </si>
  <si>
    <t>導入・トレーニング</t>
  </si>
  <si>
    <t>運用・改善</t>
  </si>
  <si>
    <t>Chapter 06｜5D進行チェックシート</t>
  </si>
  <si>
    <t>AIエージェント導入案件を5Dモデルに沿って点検し、各Stepで次に進める根拠が揃っているかを確認します。</t>
  </si>
  <si>
    <t>案件名</t>
  </si>
  <si>
    <t>最終判断</t>
  </si>
  <si>
    <t>Pivot</t>
  </si>
  <si>
    <t>Step</t>
  </si>
  <si>
    <t>いつ</t>
  </si>
  <si>
    <t>確認項目</t>
  </si>
  <si>
    <t>確認OKの目安</t>
  </si>
  <si>
    <t>判定</t>
  </si>
  <si>
    <t>1 Discovery
発見・選定</t>
  </si>
  <si>
    <t>事前</t>
  </si>
  <si>
    <t>利用者</t>
  </si>
  <si>
    <t>□ 利用者と現場責任者が見える</t>
  </si>
  <si>
    <t>困りごと</t>
  </si>
  <si>
    <t>□ 数字または頻度で書けている</t>
  </si>
  <si>
    <t>AIで試す理由</t>
  </si>
  <si>
    <t>□ 文章・判断・検索などAI向きの理由がある</t>
  </si>
  <si>
    <t>最初の範囲</t>
  </si>
  <si>
    <t>□ 広すぎず、PoCできる範囲になっている</t>
  </si>
  <si>
    <t>Step判断</t>
  </si>
  <si>
    <t>Go / Pivot / No-Goを選ぶ</t>
  </si>
  <si>
    <t>Go</t>
  </si>
  <si>
    <t>2 Definition
定義・構造化</t>
  </si>
  <si>
    <t>現在の流れ</t>
  </si>
  <si>
    <t>□ As-Isが事実ベースで書けている</t>
  </si>
  <si>
    <t>AIに任せる工程</t>
  </si>
  <si>
    <t>□ AIと人の境界が明確</t>
  </si>
  <si>
    <t>入力データ</t>
  </si>
  <si>
    <t>□ 利用可能なデータ所在が分かる</t>
  </si>
  <si>
    <t>□ 誰が使う出力か分かる</t>
  </si>
  <si>
    <t>成功基準</t>
  </si>
  <si>
    <t>□ 曖昧語ではなく数値基準になっている</t>
  </si>
  <si>
    <t>制約条件</t>
  </si>
  <si>
    <t>□ 進める前提条件が確認されている</t>
  </si>
  <si>
    <t>3 Design
設計</t>
  </si>
  <si>
    <t>事前設計</t>
  </si>
  <si>
    <t>処理フロー</t>
  </si>
  <si>
    <t>□ 処理の順番が追える</t>
  </si>
  <si>
    <t>参照・出力設計</t>
  </si>
  <si>
    <t>□ 参照元と出力形式が限定されている</t>
  </si>
  <si>
    <t>権限・禁止事項</t>
  </si>
  <si>
    <t>□ 権限と禁止範囲が明確</t>
  </si>
  <si>
    <t>HITL・失敗時対応</t>
  </si>
  <si>
    <t>□ 人間確認とエスカレーションがある</t>
  </si>
  <si>
    <t>検証設計</t>
  </si>
  <si>
    <t>PoC対象機能</t>
  </si>
  <si>
    <t>□ 作りすぎず、対象外も明記されている</t>
  </si>
  <si>
    <t>テストセット</t>
  </si>
  <si>
    <t>□ 後から評価条件を動かせない</t>
  </si>
  <si>
    <t>評価・足切り条件</t>
  </si>
  <si>
    <t>□ Go/Pivot/No-Goの基準が事前に固定されている</t>
  </si>
  <si>
    <t>4 Development
開発・PoC</t>
  </si>
  <si>
    <t>実施後</t>
  </si>
  <si>
    <t>実装した版</t>
  </si>
  <si>
    <t>□ どの条件で検証したか再現できる</t>
  </si>
  <si>
    <t>実施条件</t>
  </si>
  <si>
    <t>□ Designのテストセットと差分が分かる</t>
  </si>
  <si>
    <t>実測結果</t>
  </si>
  <si>
    <t>□ 基準値 / 実測値 / 差分で判断できる</t>
  </si>
  <si>
    <t>安全性・重大NG</t>
  </si>
  <si>
    <t>□ 足切り条件への抵触が分かる</t>
  </si>
  <si>
    <t>失敗パターン</t>
  </si>
  <si>
    <t>□ 失敗が件数と影響で見える</t>
  </si>
  <si>
    <t>原因仮説</t>
  </si>
  <si>
    <t>□ Pivot時に直す対象が明確</t>
  </si>
  <si>
    <t>改善バックログ</t>
  </si>
  <si>
    <t>□ 改善後の再判定に進める</t>
  </si>
  <si>
    <t>展開前</t>
  </si>
  <si>
    <t>展開範囲</t>
  </si>
  <si>
    <t>□ 小さく本番化できる</t>
  </si>
  <si>
    <t>運用責任</t>
  </si>
  <si>
    <t>□ 責任者が未定ではない</t>
  </si>
  <si>
    <t>利用者説明</t>
  </si>
  <si>
    <t>□ 利用前の説明がある</t>
  </si>
  <si>
    <t>展開後</t>
  </si>
  <si>
    <t>定着KPI</t>
  </si>
  <si>
    <t>□ 利用回数だけでなく業務成果も見る</t>
  </si>
  <si>
    <t>改善サイクル</t>
  </si>
  <si>
    <t>□ 改善会議が予定化されている</t>
  </si>
  <si>
    <t>参照資料</t>
  </si>
  <si>
    <t>確認すること</t>
  </si>
  <si>
    <t>確認結果・参照先</t>
  </si>
  <si>
    <t>AIで扱う業務を1つに絞る</t>
  </si>
  <si>
    <t>例：総務への社内問い合わせ一次回答</t>
  </si>
  <si>
    <t>□ 1つの業務名で書けている</t>
  </si>
  <si>
    <t>誰が使うか、誰が困っているか</t>
  </si>
  <si>
    <t>例：総務担当者、問い合わせをする全社員</t>
  </si>
  <si>
    <t>時間・件数・ミス・属人化のどれが問題か</t>
  </si>
  <si>
    <t>例：月300件、平均10分、担当者に偏る</t>
  </si>
  <si>
    <t>なぜ通常の業務整理だけでなくAIを使うのか</t>
  </si>
  <si>
    <t>例：質問文が毎回違い、規程の根拠確認が必要</t>
  </si>
  <si>
    <t>1か月で試せる範囲に絞る</t>
  </si>
  <si>
    <t>例：総務FAQのうち勤怠・経費の2カテゴリ</t>
  </si>
  <si>
    <t>Go＝次へ / Pivot＝不足を直す / No-Go＝テーマ再考</t>
  </si>
  <si>
    <t>責任者</t>
  </si>
  <si>
    <t>今の業務手順を3〜5ステップで書く</t>
  </si>
  <si>
    <t>例：質問受付→担当確認→規程検索→回答作成→送信</t>
  </si>
  <si>
    <t>AIが担当する工程と人が残す工程を分ける</t>
  </si>
  <si>
    <t>例：AIは回答案作成、人は最終承認</t>
  </si>
  <si>
    <t>AIに渡すデータと保管場所を書く</t>
  </si>
  <si>
    <t>例：FAQ、規程PDF、過去問い合わせメール</t>
  </si>
  <si>
    <t>AIからほしい成果物を書く</t>
  </si>
  <si>
    <t>例：回答案、参照元、確認が必要な理由</t>
  </si>
  <si>
    <t>PoCで使えると言える基準を数字で置く</t>
  </si>
  <si>
    <t>例：回答案採用率70%以上、重大誤回答0件</t>
  </si>
  <si>
    <t>法務・情報管理・データ利用の制約を書く</t>
  </si>
  <si>
    <t>例：個人情報はマスキング、未承認規程は参照不可</t>
  </si>
  <si>
    <t>AIがどの順番で処理するか</t>
  </si>
  <si>
    <t>例：質問分類→RAG検索→回答案生成→根拠表示</t>
  </si>
  <si>
    <t>AIが見てよい情報と出力形式を書く</t>
  </si>
  <si>
    <t>例：承認済みFAQを参照し、回答案・根拠URL・確認理由を出す</t>
  </si>
  <si>
    <t>AIに見せない情報、操作させないことを書く</t>
  </si>
  <si>
    <t>例：個人評価情報、給与明細、未承認文書は参照不可</t>
  </si>
  <si>
    <t>人が確認する条件と、根拠なし時の動きを書く</t>
  </si>
  <si>
    <t>例：全件承認。根拠なし・低信頼度は回答せず担当者へ</t>
  </si>
  <si>
    <t>今回作る範囲と作らない範囲を決める</t>
  </si>
  <si>
    <t>例：FAQ検索＋回答案生成のみ。自動送信は対象外</t>
  </si>
  <si>
    <t>通常・境界・例外・禁止ケースの件数を決める</t>
  </si>
  <si>
    <t>例：通常30件、境界10件、例外5件、禁止5件</t>
  </si>
  <si>
    <t>測定指標、必須ゲート、反復上限を決める</t>
  </si>
  <si>
    <t>例：採用率70%以上、重大誤回答0、漏えい0、再検証3回まで</t>
  </si>
  <si>
    <t>実際にPoCしたモデル・プロンプト・RAG版を書く</t>
  </si>
  <si>
    <t>例：model A、prompt v0.3、FAQ 2026/4/20版</t>
  </si>
  <si>
    <t>実際のデータ件数、利用者、環境を書く</t>
  </si>
  <si>
    <t>例：過去50件、総務2名、サンドボックス環境</t>
  </si>
  <si>
    <t>成功基準に対する実測値を書く</t>
  </si>
  <si>
    <t>例：採用率68%、根拠一致率82%、平均45秒、1件12円</t>
  </si>
  <si>
    <t>漏えい・権限逸脱・重大誤回答の件数を書く</t>
  </si>
  <si>
    <t>例：漏えい0、権限逸脱0、重大誤回答1</t>
  </si>
  <si>
    <t>何が何件失敗したか、影響を書く</t>
  </si>
  <si>
    <t>例：規程改定日の古い回答が6件、根拠なし回答が3件</t>
  </si>
  <si>
    <t>失敗原因を層で切り分ける</t>
  </si>
  <si>
    <t>例：データ鮮度 / プロンプト / RAG / 業務ルール / UI</t>
  </si>
  <si>
    <t>次に直す項目、優先順位、再検証日を書く</t>
  </si>
  <si>
    <t>例：FAQ更新、チャンク再設計、5/8に再検証</t>
  </si>
  <si>
    <t>5 Deployment &amp; Scale / 展開・定着</t>
  </si>
  <si>
    <t>最初に使うチーム・人数を書く</t>
  </si>
  <si>
    <t>例：総務チーム5名から開始</t>
  </si>
  <si>
    <t>問い合わせ・障害・改善の責任者を書く</t>
  </si>
  <si>
    <t>例：総務リーダー、技術窓口は情シス</t>
  </si>
  <si>
    <t>利用者に伝えること、研修の方法を書く</t>
  </si>
  <si>
    <t>例：30分説明会、使ってよい質問例を配布</t>
  </si>
  <si>
    <t>使われているか、成果が出ているかの指標を書く</t>
  </si>
  <si>
    <t>例：週利用件数、回答時間、差し戻し率</t>
  </si>
  <si>
    <t>要望を集め、いつ見直すかを書く</t>
  </si>
  <si>
    <t>例：2週間ごとにKPIとログをレビュー</t>
  </si>
  <si>
    <t>必須ゲートを満たしており、次のStepへ進める状態。</t>
  </si>
  <si>
    <t>不足点や未達原因が特定できており、修正後に再判定できる状態。失敗ではなく、学習結果として扱う。</t>
  </si>
  <si>
    <t>No-Go</t>
  </si>
  <si>
    <t>安全性・事業性・データ利用・運用責任などの前提が崩れており、テーマや対象範囲を見直す状態。</t>
  </si>
  <si>
    <t>概要（何をしているか）</t>
    <phoneticPr fontId="3"/>
  </si>
  <si>
    <t>担当者・部門（主担当）</t>
    <phoneticPr fontId="3"/>
  </si>
  <si>
    <t>使用ツール・システム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</si>
</sst>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6">
    <font>
      <sz val="10"/>
      <color rgb="FF000000"/>
      <name val="Carlito"/>
      <scheme val="minor"/>
    </font>
    <font>
      <sz val="10"/>
      <color rgb="FF1F2937"/>
      <name val="Yu Gothic"/>
      <family val="3"/>
      <charset val="128"/>
    </font>
    <font>
      <b/>
      <sz val="16"/>
      <color rgb="FF17324D"/>
      <name val="Yu Gothic"/>
      <family val="3"/>
      <charset val="128"/>
    </font>
    <font>
      <sz val="6"/>
      <name val="Carlito"/>
      <family val="3"/>
      <charset val="128"/>
      <scheme val="minor"/>
    </font>
    <font>
      <sz val="10"/>
      <color rgb="FF1F2937"/>
      <name val="Noto Sans JP"/>
      <family val="3"/>
      <charset val="128"/>
    </font>
    <font>
      <sz val="10"/>
      <name val="Noto Sans JP"/>
      <family val="3"/>
      <charset val="128"/>
    </font>
    <font>
      <sz val="10"/>
      <color rgb="FF000000"/>
      <name val="Noto Sans JP"/>
      <family val="3"/>
      <charset val="128"/>
    </font>
    <font>
      <sz val="10"/>
      <color rgb="FF64748B"/>
      <name val="Noto Sans JP"/>
      <family val="3"/>
      <charset val="128"/>
    </font>
    <font>
      <b/>
      <sz val="16"/>
      <color rgb="FF17324D"/>
      <name val="Noto Sans JP"/>
      <family val="3"/>
      <charset val="128"/>
    </font>
    <font>
      <b/>
      <sz val="10"/>
      <color rgb="FF17324D"/>
      <name val="Noto Sans JP"/>
      <family val="3"/>
      <charset val="128"/>
    </font>
    <font>
      <b/>
      <sz val="10"/>
      <color rgb="FFFFFFFF"/>
      <name val="Noto Sans JP"/>
      <family val="3"/>
      <charset val="128"/>
    </font>
    <font>
      <b/>
      <sz val="10"/>
      <color rgb="FF1F2937"/>
      <name val="Noto Sans JP"/>
      <family val="3"/>
      <charset val="128"/>
    </font>
    <font>
      <b/>
      <sz val="10"/>
      <color rgb="FF64748B"/>
      <name val="Noto Sans JP"/>
      <family val="3"/>
      <charset val="128"/>
    </font>
    <font>
      <b/>
      <sz val="17"/>
      <color rgb="FFFFFFFF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rgb="FF000000"/>
      <name val="Noto Sans JP"/>
      <family val="3"/>
      <charset val="128"/>
    </font>
    <font>
      <sz val="8"/>
      <color rgb="FFE5E7EB"/>
      <name val="Noto Sans JP"/>
      <family val="3"/>
      <charset val="128"/>
    </font>
    <font>
      <b/>
      <sz val="8"/>
      <color rgb="FF172033"/>
      <name val="Noto Sans JP"/>
      <family val="3"/>
      <charset val="128"/>
    </font>
    <font>
      <sz val="8"/>
      <color rgb="FF111827"/>
      <name val="Noto Sans JP"/>
      <family val="3"/>
      <charset val="128"/>
    </font>
    <font>
      <b/>
      <sz val="7"/>
      <color rgb="FF92400E"/>
      <name val="Noto Sans JP"/>
      <family val="3"/>
      <charset val="128"/>
    </font>
    <font>
      <b/>
      <sz val="8"/>
      <color rgb="FFFFFFFF"/>
      <name val="Noto Sans JP"/>
      <family val="3"/>
      <charset val="128"/>
    </font>
    <font>
      <sz val="7"/>
      <color rgb="FF64748B"/>
      <name val="Noto Sans JP"/>
      <family val="3"/>
      <charset val="128"/>
    </font>
    <font>
      <b/>
      <sz val="7"/>
      <color rgb="FF166534"/>
      <name val="Noto Sans JP"/>
      <family val="3"/>
      <charset val="128"/>
    </font>
    <font>
      <b/>
      <sz val="8"/>
      <color rgb="FF111827"/>
      <name val="Noto Sans JP"/>
      <family val="3"/>
      <charset val="128"/>
    </font>
    <font>
      <sz val="8"/>
      <color rgb="FF64748B"/>
      <name val="Noto Sans JP"/>
      <family val="3"/>
      <charset val="128"/>
    </font>
    <font>
      <b/>
      <sz val="7"/>
      <color rgb="FF991B1B"/>
      <name val="Noto Sans JP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rgb="FF17324D"/>
        <bgColor rgb="FF17324D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F1F5F9"/>
        <bgColor rgb="FFF1F5F9"/>
      </patternFill>
    </fill>
    <fill>
      <patternFill patternType="solid">
        <fgColor theme="0"/>
        <bgColor theme="0"/>
      </patternFill>
    </fill>
    <fill>
      <patternFill patternType="solid">
        <fgColor rgb="FF0A3041"/>
        <bgColor rgb="FF0A3041"/>
      </patternFill>
    </fill>
    <fill>
      <patternFill patternType="solid">
        <fgColor rgb="FFEAF4FF"/>
        <bgColor rgb="FFEAF4FF"/>
      </patternFill>
    </fill>
    <fill>
      <patternFill patternType="solid">
        <fgColor rgb="FF172033"/>
        <bgColor rgb="FF172033"/>
      </patternFill>
    </fill>
    <fill>
      <patternFill patternType="solid">
        <fgColor rgb="FFE5E7EB"/>
        <bgColor rgb="FFE5E7EB"/>
      </patternFill>
    </fill>
    <fill>
      <patternFill patternType="solid">
        <fgColor rgb="FFFFFDF7"/>
        <bgColor rgb="FFFFFDF7"/>
      </patternFill>
    </fill>
    <fill>
      <patternFill patternType="solid">
        <fgColor rgb="FFFEF3C7"/>
        <bgColor rgb="FFFEF3C7"/>
      </patternFill>
    </fill>
    <fill>
      <patternFill patternType="solid">
        <fgColor rgb="FF2563EB"/>
        <bgColor rgb="FF2563EB"/>
      </patternFill>
    </fill>
    <fill>
      <patternFill patternType="solid">
        <fgColor rgb="FFF0F9FF"/>
        <bgColor rgb="FFF0F9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3F4F6"/>
        <bgColor rgb="FFF3F4F6"/>
      </patternFill>
    </fill>
    <fill>
      <patternFill patternType="solid">
        <fgColor rgb="FFFEE2E2"/>
        <bgColor rgb="FFFEE2E2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AAB6CA"/>
      </right>
      <top style="thin">
        <color rgb="FFCBD5E1"/>
      </top>
      <bottom/>
      <diagonal/>
    </border>
    <border>
      <left style="thin">
        <color rgb="FFCBD5E1"/>
      </left>
      <right style="thin">
        <color rgb="FFAAB6CA"/>
      </right>
      <top/>
      <bottom/>
      <diagonal/>
    </border>
    <border>
      <left style="thin">
        <color rgb="FFAAB6CA"/>
      </left>
      <right style="thin">
        <color rgb="FFAAB6CA"/>
      </right>
      <top style="thin">
        <color rgb="FFAAB6CA"/>
      </top>
      <bottom style="thin">
        <color rgb="FFAAB6CA"/>
      </bottom>
      <diagonal/>
    </border>
    <border>
      <left style="thin">
        <color rgb="FFCBD5E1"/>
      </left>
      <right style="thin">
        <color rgb="FFAAB6CA"/>
      </right>
      <top/>
      <bottom style="thin">
        <color rgb="FFAAB6CA"/>
      </bottom>
      <diagonal/>
    </border>
    <border>
      <left style="thin">
        <color rgb="FF172033"/>
      </left>
      <right/>
      <top style="thin">
        <color rgb="FF172033"/>
      </top>
      <bottom style="thin">
        <color rgb="FF172033"/>
      </bottom>
      <diagonal/>
    </border>
    <border>
      <left/>
      <right/>
      <top style="thin">
        <color rgb="FF172033"/>
      </top>
      <bottom style="thin">
        <color rgb="FF172033"/>
      </bottom>
      <diagonal/>
    </border>
    <border>
      <left/>
      <right style="thin">
        <color rgb="FF172033"/>
      </right>
      <top style="thin">
        <color rgb="FF172033"/>
      </top>
      <bottom style="thin">
        <color rgb="FF172033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vertical="top" wrapText="1"/>
    </xf>
    <xf numFmtId="0" fontId="6" fillId="0" borderId="0" xfId="0" applyFont="1"/>
    <xf numFmtId="0" fontId="7" fillId="3" borderId="1" xfId="0" applyFont="1" applyFill="1" applyBorder="1" applyAlignment="1">
      <alignment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/>
    </xf>
    <xf numFmtId="0" fontId="8" fillId="0" borderId="0" xfId="0" applyFont="1"/>
    <xf numFmtId="0" fontId="4" fillId="3" borderId="1" xfId="0" applyFont="1" applyFill="1" applyBorder="1" applyAlignment="1">
      <alignment vertical="top" wrapText="1"/>
    </xf>
    <xf numFmtId="176" fontId="4" fillId="3" borderId="5" xfId="0" applyNumberFormat="1" applyFont="1" applyFill="1" applyBorder="1" applyAlignment="1">
      <alignment horizontal="center" vertical="top" wrapText="1"/>
    </xf>
    <xf numFmtId="176" fontId="4" fillId="5" borderId="5" xfId="0" applyNumberFormat="1" applyFont="1" applyFill="1" applyBorder="1" applyAlignment="1">
      <alignment horizontal="center" vertical="top" wrapText="1"/>
    </xf>
    <xf numFmtId="176" fontId="4" fillId="3" borderId="5" xfId="0" applyNumberFormat="1" applyFont="1" applyFill="1" applyBorder="1" applyAlignment="1">
      <alignment horizontal="left" vertical="top" wrapText="1"/>
    </xf>
    <xf numFmtId="1" fontId="4" fillId="5" borderId="5" xfId="0" applyNumberFormat="1" applyFont="1" applyFill="1" applyBorder="1" applyAlignment="1">
      <alignment horizontal="center" vertical="top" wrapText="1"/>
    </xf>
    <xf numFmtId="176" fontId="4" fillId="6" borderId="5" xfId="0" applyNumberFormat="1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3" borderId="11" xfId="0" applyFont="1" applyFill="1" applyBorder="1" applyAlignment="1">
      <alignment vertical="top" wrapText="1"/>
    </xf>
    <xf numFmtId="0" fontId="11" fillId="3" borderId="5" xfId="0" applyFont="1" applyFill="1" applyBorder="1" applyAlignment="1">
      <alignment vertical="top" wrapText="1"/>
    </xf>
    <xf numFmtId="0" fontId="4" fillId="6" borderId="5" xfId="0" applyFont="1" applyFill="1" applyBorder="1" applyAlignment="1">
      <alignment vertical="top" wrapText="1"/>
    </xf>
    <xf numFmtId="0" fontId="4" fillId="6" borderId="5" xfId="0" applyFont="1" applyFill="1" applyBorder="1" applyAlignment="1">
      <alignment horizontal="left" vertical="top" wrapText="1"/>
    </xf>
    <xf numFmtId="0" fontId="4" fillId="6" borderId="5" xfId="0" applyFont="1" applyFill="1" applyBorder="1" applyAlignment="1">
      <alignment horizontal="center" vertical="top" wrapText="1"/>
    </xf>
    <xf numFmtId="0" fontId="7" fillId="8" borderId="21" xfId="0" applyFont="1" applyFill="1" applyBorder="1" applyAlignment="1">
      <alignment vertical="top" wrapText="1"/>
    </xf>
    <xf numFmtId="0" fontId="10" fillId="2" borderId="22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top" wrapText="1"/>
    </xf>
    <xf numFmtId="0" fontId="14" fillId="0" borderId="0" xfId="0" applyFont="1"/>
    <xf numFmtId="0" fontId="15" fillId="0" borderId="0" xfId="0" applyFont="1"/>
    <xf numFmtId="0" fontId="17" fillId="10" borderId="21" xfId="0" applyFont="1" applyFill="1" applyBorder="1" applyAlignment="1">
      <alignment horizontal="center" vertical="center"/>
    </xf>
    <xf numFmtId="0" fontId="18" fillId="11" borderId="21" xfId="0" applyFont="1" applyFill="1" applyBorder="1" applyAlignment="1">
      <alignment vertical="center" wrapText="1"/>
    </xf>
    <xf numFmtId="0" fontId="20" fillId="13" borderId="21" xfId="0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/>
    </xf>
    <xf numFmtId="0" fontId="23" fillId="11" borderId="21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vertical="top" wrapText="1"/>
    </xf>
    <xf numFmtId="0" fontId="24" fillId="16" borderId="21" xfId="0" applyFont="1" applyFill="1" applyBorder="1" applyAlignment="1">
      <alignment vertical="top" wrapText="1"/>
    </xf>
    <xf numFmtId="0" fontId="18" fillId="14" borderId="21" xfId="0" applyFont="1" applyFill="1" applyBorder="1" applyAlignment="1">
      <alignment vertical="top" wrapText="1"/>
    </xf>
    <xf numFmtId="0" fontId="22" fillId="15" borderId="17" xfId="0" applyFont="1" applyFill="1" applyBorder="1" applyAlignment="1">
      <alignment horizontal="center" vertical="center" wrapText="1"/>
    </xf>
    <xf numFmtId="0" fontId="19" fillId="12" borderId="16" xfId="0" applyFont="1" applyFill="1" applyBorder="1" applyAlignment="1">
      <alignment horizontal="center" vertical="center" wrapText="1"/>
    </xf>
    <xf numFmtId="0" fontId="25" fillId="18" borderId="18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8" fillId="3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9" fillId="4" borderId="21" xfId="0" applyFont="1" applyFill="1" applyBorder="1" applyAlignment="1">
      <alignment horizontal="center" vertical="center" wrapText="1"/>
    </xf>
    <xf numFmtId="0" fontId="5" fillId="0" borderId="21" xfId="0" applyFont="1" applyBorder="1"/>
    <xf numFmtId="0" fontId="11" fillId="3" borderId="9" xfId="0" applyFont="1" applyFill="1" applyBorder="1" applyAlignment="1">
      <alignment vertical="top" wrapText="1"/>
    </xf>
    <xf numFmtId="0" fontId="5" fillId="0" borderId="10" xfId="0" applyFont="1" applyBorder="1"/>
    <xf numFmtId="0" fontId="5" fillId="0" borderId="12" xfId="0" applyFont="1" applyBorder="1"/>
    <xf numFmtId="0" fontId="7" fillId="3" borderId="21" xfId="0" applyFont="1" applyFill="1" applyBorder="1" applyAlignment="1">
      <alignment vertical="top" wrapText="1"/>
    </xf>
    <xf numFmtId="0" fontId="10" fillId="2" borderId="19" xfId="0" applyFont="1" applyFill="1" applyBorder="1" applyAlignment="1">
      <alignment horizontal="center" vertical="center" wrapText="1"/>
    </xf>
    <xf numFmtId="0" fontId="5" fillId="0" borderId="20" xfId="0" applyFont="1" applyBorder="1"/>
    <xf numFmtId="0" fontId="12" fillId="3" borderId="21" xfId="0" applyFont="1" applyFill="1" applyBorder="1" applyAlignment="1">
      <alignment horizontal="left" vertical="top" wrapText="1"/>
    </xf>
    <xf numFmtId="0" fontId="20" fillId="9" borderId="21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vertical="center"/>
    </xf>
    <xf numFmtId="0" fontId="5" fillId="0" borderId="14" xfId="0" applyFont="1" applyBorder="1"/>
    <xf numFmtId="0" fontId="5" fillId="0" borderId="15" xfId="0" applyFont="1" applyBorder="1"/>
    <xf numFmtId="0" fontId="16" fillId="9" borderId="13" xfId="0" applyFont="1" applyFill="1" applyBorder="1" applyAlignment="1">
      <alignment vertical="center" wrapText="1"/>
    </xf>
    <xf numFmtId="0" fontId="18" fillId="11" borderId="21" xfId="0" applyFont="1" applyFill="1" applyBorder="1" applyAlignment="1">
      <alignment vertical="center" wrapText="1"/>
    </xf>
    <xf numFmtId="0" fontId="21" fillId="17" borderId="6" xfId="0" applyFont="1" applyFill="1" applyBorder="1" applyAlignment="1">
      <alignment vertical="top" wrapText="1"/>
    </xf>
    <xf numFmtId="0" fontId="5" fillId="0" borderId="8" xfId="0" applyFont="1" applyBorder="1"/>
    <xf numFmtId="0" fontId="5" fillId="0" borderId="7" xfId="0" applyFont="1" applyBorder="1"/>
  </cellXfs>
  <cellStyles count="1">
    <cellStyle name="標準" xfId="0" builtinId="0"/>
  </cellStyles>
  <dxfs count="13">
    <dxf>
      <font>
        <b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/>
        <color rgb="FF0039B8"/>
      </font>
      <fill>
        <patternFill patternType="solid">
          <fgColor rgb="FFD9F5FF"/>
          <bgColor rgb="FFD9F5FF"/>
        </patternFill>
      </fill>
    </dxf>
    <dxf>
      <font>
        <b/>
        <color rgb="FFFFFFFF"/>
      </font>
      <fill>
        <patternFill patternType="solid">
          <fgColor rgb="FF00AEEF"/>
          <bgColor rgb="FF00AEEF"/>
        </patternFill>
      </fill>
    </dxf>
    <dxf>
      <font>
        <b/>
        <color rgb="FFFFFFFF"/>
      </font>
      <fill>
        <patternFill patternType="solid">
          <fgColor rgb="FF0039B8"/>
          <bgColor rgb="FF0039B8"/>
        </patternFill>
      </fill>
    </dxf>
    <dxf>
      <font>
        <b/>
        <color rgb="FFFFFFFF"/>
      </font>
      <fill>
        <patternFill patternType="solid">
          <fgColor rgb="FF0052FF"/>
          <bgColor rgb="FF0052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showGridLines="0" workbookViewId="0">
      <selection activeCell="D18" sqref="D18"/>
    </sheetView>
  </sheetViews>
  <sheetFormatPr defaultColWidth="14.44140625" defaultRowHeight="15" customHeight="1"/>
  <cols>
    <col min="1" max="1" width="6.5546875" customWidth="1"/>
    <col min="2" max="2" width="15.6640625" customWidth="1"/>
    <col min="3" max="3" width="23.6640625" customWidth="1"/>
    <col min="4" max="4" width="39.6640625" customWidth="1"/>
    <col min="5" max="5" width="14.5546875" customWidth="1"/>
    <col min="6" max="7" width="16.88671875" customWidth="1"/>
    <col min="8" max="8" width="39.6640625" customWidth="1"/>
    <col min="9" max="9" width="16.88671875" customWidth="1"/>
    <col min="10" max="10" width="14.5546875" customWidth="1"/>
    <col min="11" max="11" width="28.33203125" customWidth="1"/>
  </cols>
  <sheetData>
    <row r="1" spans="1:26" ht="27.75" customHeight="1">
      <c r="A1" s="41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4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399999999999999">
      <c r="A2" s="42" t="s">
        <v>2</v>
      </c>
      <c r="B2" s="39"/>
      <c r="C2" s="39"/>
      <c r="D2" s="39"/>
      <c r="E2" s="39"/>
      <c r="F2" s="39"/>
      <c r="G2" s="39"/>
      <c r="H2" s="39"/>
      <c r="I2" s="39"/>
      <c r="J2" s="39"/>
      <c r="K2" s="40"/>
    </row>
    <row r="3" spans="1:26" ht="17.399999999999999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26" ht="17.399999999999999">
      <c r="A4" s="43" t="s">
        <v>3</v>
      </c>
      <c r="B4" s="44"/>
      <c r="C4" s="44"/>
      <c r="D4" s="43" t="s">
        <v>4</v>
      </c>
      <c r="E4" s="44"/>
      <c r="F4" s="44"/>
      <c r="G4" s="44"/>
      <c r="H4" s="44"/>
      <c r="I4" s="44"/>
      <c r="J4" s="44"/>
      <c r="K4" s="44"/>
    </row>
    <row r="5" spans="1:26" ht="17.399999999999999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26" ht="52.2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</row>
    <row r="7" spans="1:26" ht="17.399999999999999">
      <c r="A7" s="6">
        <v>1</v>
      </c>
      <c r="B7" s="6"/>
      <c r="C7" s="7"/>
      <c r="D7" s="7"/>
      <c r="E7" s="6"/>
      <c r="F7" s="10"/>
      <c r="G7" s="11"/>
      <c r="H7" s="12"/>
      <c r="I7" s="10"/>
      <c r="J7" s="13"/>
      <c r="K7" s="7"/>
    </row>
    <row r="8" spans="1:26" ht="17.399999999999999">
      <c r="A8" s="6">
        <v>2</v>
      </c>
      <c r="B8" s="6"/>
      <c r="C8" s="7"/>
      <c r="D8" s="7"/>
      <c r="E8" s="6"/>
      <c r="F8" s="10"/>
      <c r="G8" s="11"/>
      <c r="H8" s="12"/>
      <c r="I8" s="10"/>
      <c r="J8" s="13"/>
      <c r="K8" s="7"/>
    </row>
    <row r="9" spans="1:26" ht="17.399999999999999">
      <c r="A9" s="6">
        <v>3</v>
      </c>
      <c r="B9" s="6"/>
      <c r="C9" s="7"/>
      <c r="D9" s="7"/>
      <c r="E9" s="6"/>
      <c r="F9" s="10"/>
      <c r="G9" s="11"/>
      <c r="H9" s="12"/>
      <c r="I9" s="10"/>
      <c r="J9" s="13"/>
      <c r="K9" s="7"/>
    </row>
    <row r="10" spans="1:26" ht="17.399999999999999">
      <c r="A10" s="6">
        <v>4</v>
      </c>
      <c r="B10" s="6"/>
      <c r="C10" s="7"/>
      <c r="D10" s="7"/>
      <c r="E10" s="6"/>
      <c r="F10" s="10"/>
      <c r="G10" s="11" t="str">
        <f t="shared" ref="G10:G22" si="0">IF(OR(E10="",F10=""),"",ROUND(IF(ISNUMBER(E10),E10,IF(ISNUMBER(SEARCH("毎日",E10)),20,IF(ISNUMBER(SEARCH("週",E10)),VALUE(MID(E10,FIND("週",E10)+1,FIND("回",E10)-FIND("週",E10)-1))*4,IF(ISNUMBER(SEARCH("月",E10)),VALUE(MID(E10,FIND("月",E10)+1,FIND("回",E10)-FIND("月",E10)-1)),1))))*F10/60,1))</f>
        <v/>
      </c>
      <c r="H10" s="12"/>
      <c r="I10" s="14" t="str">
        <f t="shared" ref="I10:I22" si="1">IF(G10="","",ROUND(G10*0.6,1))</f>
        <v/>
      </c>
      <c r="J10" s="13"/>
      <c r="K10" s="7"/>
    </row>
    <row r="11" spans="1:26" ht="17.399999999999999">
      <c r="A11" s="6">
        <v>5</v>
      </c>
      <c r="B11" s="6"/>
      <c r="C11" s="7"/>
      <c r="D11" s="7"/>
      <c r="E11" s="6"/>
      <c r="F11" s="10"/>
      <c r="G11" s="11" t="str">
        <f t="shared" si="0"/>
        <v/>
      </c>
      <c r="H11" s="12"/>
      <c r="I11" s="14" t="str">
        <f t="shared" si="1"/>
        <v/>
      </c>
      <c r="J11" s="13"/>
      <c r="K11" s="7"/>
    </row>
    <row r="12" spans="1:26" ht="17.399999999999999">
      <c r="A12" s="6">
        <v>6</v>
      </c>
      <c r="B12" s="6"/>
      <c r="C12" s="7"/>
      <c r="D12" s="7"/>
      <c r="E12" s="6"/>
      <c r="F12" s="10"/>
      <c r="G12" s="11" t="str">
        <f t="shared" si="0"/>
        <v/>
      </c>
      <c r="H12" s="12"/>
      <c r="I12" s="14" t="str">
        <f t="shared" si="1"/>
        <v/>
      </c>
      <c r="J12" s="13"/>
      <c r="K12" s="7"/>
    </row>
    <row r="13" spans="1:26" ht="17.399999999999999">
      <c r="A13" s="6">
        <v>7</v>
      </c>
      <c r="B13" s="6"/>
      <c r="C13" s="7"/>
      <c r="D13" s="7"/>
      <c r="E13" s="6"/>
      <c r="F13" s="10"/>
      <c r="G13" s="11" t="str">
        <f t="shared" si="0"/>
        <v/>
      </c>
      <c r="H13" s="12"/>
      <c r="I13" s="14" t="str">
        <f t="shared" si="1"/>
        <v/>
      </c>
      <c r="J13" s="13"/>
      <c r="K13" s="7"/>
    </row>
    <row r="14" spans="1:26" ht="17.399999999999999">
      <c r="A14" s="6">
        <v>8</v>
      </c>
      <c r="B14" s="6"/>
      <c r="C14" s="7"/>
      <c r="D14" s="7"/>
      <c r="E14" s="6"/>
      <c r="F14" s="10"/>
      <c r="G14" s="11" t="str">
        <f t="shared" si="0"/>
        <v/>
      </c>
      <c r="H14" s="12"/>
      <c r="I14" s="14" t="str">
        <f t="shared" si="1"/>
        <v/>
      </c>
      <c r="J14" s="13"/>
      <c r="K14" s="7"/>
    </row>
    <row r="15" spans="1:26" ht="17.399999999999999">
      <c r="A15" s="6">
        <v>9</v>
      </c>
      <c r="B15" s="6"/>
      <c r="C15" s="7"/>
      <c r="D15" s="7"/>
      <c r="E15" s="6"/>
      <c r="F15" s="10"/>
      <c r="G15" s="11" t="str">
        <f t="shared" si="0"/>
        <v/>
      </c>
      <c r="H15" s="12"/>
      <c r="I15" s="14" t="str">
        <f t="shared" si="1"/>
        <v/>
      </c>
      <c r="J15" s="13"/>
      <c r="K15" s="7"/>
    </row>
    <row r="16" spans="1:26" ht="17.399999999999999">
      <c r="A16" s="6">
        <v>10</v>
      </c>
      <c r="B16" s="6"/>
      <c r="C16" s="7"/>
      <c r="D16" s="7"/>
      <c r="E16" s="6"/>
      <c r="F16" s="10"/>
      <c r="G16" s="11" t="str">
        <f t="shared" si="0"/>
        <v/>
      </c>
      <c r="H16" s="12"/>
      <c r="I16" s="14" t="str">
        <f t="shared" si="1"/>
        <v/>
      </c>
      <c r="J16" s="13"/>
      <c r="K16" s="7"/>
    </row>
    <row r="17" spans="1:11" ht="17.399999999999999">
      <c r="A17" s="6">
        <v>11</v>
      </c>
      <c r="B17" s="6"/>
      <c r="C17" s="7"/>
      <c r="D17" s="7"/>
      <c r="E17" s="6"/>
      <c r="F17" s="10"/>
      <c r="G17" s="11" t="str">
        <f t="shared" si="0"/>
        <v/>
      </c>
      <c r="H17" s="12"/>
      <c r="I17" s="14" t="str">
        <f t="shared" si="1"/>
        <v/>
      </c>
      <c r="J17" s="13"/>
      <c r="K17" s="7"/>
    </row>
    <row r="18" spans="1:11" ht="17.399999999999999">
      <c r="A18" s="6">
        <v>12</v>
      </c>
      <c r="B18" s="6"/>
      <c r="C18" s="7"/>
      <c r="D18" s="7"/>
      <c r="E18" s="6"/>
      <c r="F18" s="10"/>
      <c r="G18" s="11" t="str">
        <f t="shared" si="0"/>
        <v/>
      </c>
      <c r="H18" s="12"/>
      <c r="I18" s="14" t="str">
        <f t="shared" si="1"/>
        <v/>
      </c>
      <c r="J18" s="13"/>
      <c r="K18" s="7"/>
    </row>
    <row r="19" spans="1:11" ht="17.399999999999999">
      <c r="A19" s="6">
        <v>13</v>
      </c>
      <c r="B19" s="6"/>
      <c r="C19" s="7"/>
      <c r="D19" s="7"/>
      <c r="E19" s="6"/>
      <c r="F19" s="10"/>
      <c r="G19" s="11" t="str">
        <f t="shared" si="0"/>
        <v/>
      </c>
      <c r="H19" s="12"/>
      <c r="I19" s="14" t="str">
        <f t="shared" si="1"/>
        <v/>
      </c>
      <c r="J19" s="13"/>
      <c r="K19" s="7"/>
    </row>
    <row r="20" spans="1:11" ht="17.399999999999999">
      <c r="A20" s="6">
        <v>14</v>
      </c>
      <c r="B20" s="6"/>
      <c r="C20" s="7"/>
      <c r="D20" s="7"/>
      <c r="E20" s="6"/>
      <c r="F20" s="10"/>
      <c r="G20" s="11" t="str">
        <f t="shared" si="0"/>
        <v/>
      </c>
      <c r="H20" s="12"/>
      <c r="I20" s="14" t="str">
        <f t="shared" si="1"/>
        <v/>
      </c>
      <c r="J20" s="13"/>
      <c r="K20" s="7"/>
    </row>
    <row r="21" spans="1:11" ht="15.75" customHeight="1">
      <c r="A21" s="6">
        <v>15</v>
      </c>
      <c r="B21" s="6"/>
      <c r="C21" s="7"/>
      <c r="D21" s="7"/>
      <c r="E21" s="6"/>
      <c r="F21" s="10"/>
      <c r="G21" s="11" t="str">
        <f t="shared" si="0"/>
        <v/>
      </c>
      <c r="H21" s="12"/>
      <c r="I21" s="14" t="str">
        <f t="shared" si="1"/>
        <v/>
      </c>
      <c r="J21" s="13"/>
      <c r="K21" s="7"/>
    </row>
    <row r="22" spans="1:11" ht="15.75" customHeight="1">
      <c r="A22" s="6">
        <v>16</v>
      </c>
      <c r="B22" s="6"/>
      <c r="C22" s="7"/>
      <c r="D22" s="7"/>
      <c r="E22" s="6"/>
      <c r="F22" s="10"/>
      <c r="G22" s="11" t="str">
        <f t="shared" si="0"/>
        <v/>
      </c>
      <c r="H22" s="12"/>
      <c r="I22" s="14" t="str">
        <f t="shared" si="1"/>
        <v/>
      </c>
      <c r="J22" s="13"/>
      <c r="K22" s="7"/>
    </row>
    <row r="23" spans="1:11" ht="15.75" customHeight="1">
      <c r="A23" s="9"/>
      <c r="B23" s="9"/>
      <c r="C23" s="9"/>
      <c r="D23" s="9"/>
      <c r="E23" s="9"/>
      <c r="F23" s="9"/>
      <c r="G23" s="9"/>
      <c r="H23" s="9"/>
      <c r="I23" s="15"/>
      <c r="J23" s="15"/>
      <c r="K23" s="9"/>
    </row>
    <row r="24" spans="1:11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2:K2"/>
    <mergeCell ref="A4:C4"/>
    <mergeCell ref="D4:K4"/>
  </mergeCells>
  <phoneticPr fontId="3"/>
  <printOptions horizontalCentered="1"/>
  <pageMargins left="0.25" right="0.25" top="0.44999999999999996" bottom="0.44999999999999996" header="0" footer="0"/>
  <pageSetup paperSize="9" orientation="landscape"/>
  <headerFooter>
    <oddFooter>&amp;LAICX認定｜AIエージェント・ストラテジスト資格&amp;C© 2026 AICX Association. All Rights Reserved. / 無断転載・複製・配布禁止&amp;R&amp;P 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1000"/>
  <sheetViews>
    <sheetView showGridLines="0" zoomScale="130" zoomScaleNormal="130" workbookViewId="0">
      <selection activeCell="A16" sqref="A16:F16"/>
    </sheetView>
  </sheetViews>
  <sheetFormatPr defaultColWidth="14.44140625" defaultRowHeight="15" customHeight="1"/>
  <cols>
    <col min="1" max="1" width="21.44140625" customWidth="1"/>
    <col min="2" max="3" width="28.33203125" customWidth="1"/>
    <col min="4" max="4" width="32.88671875" customWidth="1"/>
    <col min="5" max="6" width="28.33203125" customWidth="1"/>
  </cols>
  <sheetData>
    <row r="1" spans="1:24" ht="27.75" customHeight="1">
      <c r="A1" s="41" t="s">
        <v>16</v>
      </c>
      <c r="B1" s="39"/>
      <c r="C1" s="39"/>
      <c r="D1" s="39"/>
      <c r="E1" s="39"/>
      <c r="F1" s="39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7.399999999999999">
      <c r="A2" s="42" t="s">
        <v>17</v>
      </c>
      <c r="B2" s="39"/>
      <c r="C2" s="39"/>
      <c r="D2" s="39"/>
      <c r="E2" s="39"/>
      <c r="F2" s="39"/>
      <c r="G2" s="3"/>
    </row>
    <row r="3" spans="1:24" ht="17.399999999999999">
      <c r="A3" s="48" t="s">
        <v>18</v>
      </c>
      <c r="B3" s="44"/>
      <c r="C3" s="44"/>
      <c r="D3" s="44"/>
      <c r="E3" s="44"/>
      <c r="F3" s="44"/>
      <c r="G3" s="3"/>
    </row>
    <row r="4" spans="1:24" ht="17.399999999999999">
      <c r="A4" s="49" t="s">
        <v>19</v>
      </c>
      <c r="B4" s="50"/>
      <c r="C4" s="49"/>
      <c r="D4" s="50"/>
      <c r="E4" s="23" t="s">
        <v>20</v>
      </c>
      <c r="F4" s="24" t="s">
        <v>21</v>
      </c>
      <c r="G4" s="3"/>
    </row>
    <row r="5" spans="1:24" ht="17.399999999999999">
      <c r="A5" s="16"/>
      <c r="B5" s="16"/>
      <c r="C5" s="19"/>
      <c r="D5" s="19"/>
      <c r="E5" s="19"/>
      <c r="F5" s="19"/>
      <c r="G5" s="3"/>
    </row>
    <row r="6" spans="1:24" ht="17.399999999999999">
      <c r="A6" s="9"/>
      <c r="B6" s="9"/>
      <c r="C6" s="9"/>
      <c r="D6" s="9"/>
      <c r="E6" s="9"/>
      <c r="F6" s="9"/>
      <c r="G6" s="3"/>
    </row>
    <row r="7" spans="1:24" ht="17.399999999999999">
      <c r="A7" s="43" t="s">
        <v>22</v>
      </c>
      <c r="B7" s="44"/>
      <c r="C7" s="44"/>
      <c r="D7" s="44"/>
      <c r="E7" s="44"/>
      <c r="F7" s="44"/>
      <c r="G7" s="3"/>
    </row>
    <row r="8" spans="1:24" ht="34.799999999999997">
      <c r="A8" s="23" t="s">
        <v>23</v>
      </c>
      <c r="B8" s="23" t="s">
        <v>24</v>
      </c>
      <c r="C8" s="23" t="s">
        <v>25</v>
      </c>
      <c r="D8" s="23" t="s">
        <v>26</v>
      </c>
      <c r="E8" s="23" t="s">
        <v>27</v>
      </c>
      <c r="F8" s="23" t="s">
        <v>28</v>
      </c>
      <c r="G8" s="3"/>
    </row>
    <row r="9" spans="1:24" ht="17.399999999999999">
      <c r="A9" s="45"/>
      <c r="B9" s="19"/>
      <c r="C9" s="19"/>
      <c r="D9" s="19"/>
      <c r="E9" s="19"/>
      <c r="F9" s="19"/>
      <c r="G9" s="3"/>
    </row>
    <row r="10" spans="1:24" ht="17.399999999999999">
      <c r="A10" s="46"/>
      <c r="B10" s="17"/>
      <c r="C10" s="17"/>
      <c r="D10" s="17"/>
      <c r="E10" s="17"/>
      <c r="F10" s="17"/>
      <c r="G10" s="3"/>
    </row>
    <row r="11" spans="1:24" ht="17.399999999999999">
      <c r="A11" s="46"/>
      <c r="B11" s="17"/>
      <c r="C11" s="17"/>
      <c r="D11" s="17"/>
      <c r="E11" s="17"/>
      <c r="F11" s="17"/>
      <c r="G11" s="3"/>
    </row>
    <row r="12" spans="1:24" ht="17.399999999999999">
      <c r="A12" s="46"/>
      <c r="B12" s="17"/>
      <c r="C12" s="17"/>
      <c r="D12" s="17"/>
      <c r="E12" s="17"/>
      <c r="F12" s="17"/>
      <c r="G12" s="3"/>
    </row>
    <row r="13" spans="1:24" ht="17.399999999999999">
      <c r="A13" s="47"/>
      <c r="B13" s="17"/>
      <c r="C13" s="17"/>
      <c r="D13" s="17"/>
      <c r="E13" s="17"/>
      <c r="F13" s="17"/>
      <c r="G13" s="3"/>
    </row>
    <row r="14" spans="1:24" ht="17.399999999999999">
      <c r="A14" s="9"/>
      <c r="B14" s="9"/>
      <c r="C14" s="9"/>
      <c r="D14" s="9"/>
      <c r="E14" s="9"/>
      <c r="F14" s="9"/>
      <c r="G14" s="3"/>
    </row>
    <row r="15" spans="1:24" ht="17.399999999999999">
      <c r="A15" s="9"/>
      <c r="B15" s="9"/>
      <c r="C15" s="9"/>
      <c r="D15" s="9"/>
      <c r="E15" s="9"/>
      <c r="F15" s="9"/>
      <c r="G15" s="3"/>
    </row>
    <row r="16" spans="1:24" ht="17.399999999999999">
      <c r="A16" s="43" t="s">
        <v>29</v>
      </c>
      <c r="B16" s="44"/>
      <c r="C16" s="44"/>
      <c r="D16" s="44"/>
      <c r="E16" s="44"/>
      <c r="F16" s="44"/>
      <c r="G16" s="3"/>
    </row>
    <row r="17" spans="1:7" ht="17.399999999999999">
      <c r="A17" s="23" t="s">
        <v>30</v>
      </c>
      <c r="B17" s="23" t="s">
        <v>31</v>
      </c>
      <c r="C17" s="23" t="s">
        <v>32</v>
      </c>
      <c r="D17" s="23" t="s">
        <v>33</v>
      </c>
      <c r="E17" s="23" t="s">
        <v>34</v>
      </c>
      <c r="F17" s="23" t="s">
        <v>35</v>
      </c>
      <c r="G17" s="3"/>
    </row>
    <row r="18" spans="1:7" ht="34.799999999999997">
      <c r="A18" s="18" t="s">
        <v>232</v>
      </c>
      <c r="B18" s="19"/>
      <c r="C18" s="19"/>
      <c r="D18" s="19"/>
      <c r="E18" s="19"/>
      <c r="F18" s="19"/>
      <c r="G18" s="3"/>
    </row>
    <row r="19" spans="1:7" ht="34.799999999999997">
      <c r="A19" s="18" t="s">
        <v>233</v>
      </c>
      <c r="B19" s="19"/>
      <c r="C19" s="19"/>
      <c r="D19" s="19"/>
      <c r="E19" s="19"/>
      <c r="F19" s="19"/>
      <c r="G19" s="3"/>
    </row>
    <row r="20" spans="1:7" ht="17.399999999999999">
      <c r="A20" s="18" t="s">
        <v>234</v>
      </c>
      <c r="B20" s="19"/>
      <c r="C20" s="19"/>
      <c r="D20" s="19"/>
      <c r="E20" s="19"/>
      <c r="F20" s="19"/>
      <c r="G20" s="3"/>
    </row>
    <row r="21" spans="1:7" ht="15.75" customHeight="1">
      <c r="A21" s="18" t="s">
        <v>36</v>
      </c>
      <c r="B21" s="19"/>
      <c r="C21" s="19"/>
      <c r="D21" s="19"/>
      <c r="E21" s="19"/>
      <c r="F21" s="19"/>
      <c r="G21" s="3"/>
    </row>
    <row r="22" spans="1:7" ht="15.75" customHeight="1">
      <c r="A22" s="2"/>
      <c r="B22" s="2"/>
      <c r="C22" s="2"/>
      <c r="D22" s="2"/>
      <c r="E22" s="2"/>
      <c r="F22" s="2"/>
    </row>
    <row r="23" spans="1:7" ht="15.75" customHeight="1">
      <c r="A23" s="2"/>
      <c r="B23" s="2"/>
      <c r="C23" s="2"/>
      <c r="D23" s="2"/>
      <c r="E23" s="2"/>
      <c r="F23" s="2"/>
    </row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9:A13"/>
    <mergeCell ref="A16:F16"/>
    <mergeCell ref="A1:F1"/>
    <mergeCell ref="A2:F2"/>
    <mergeCell ref="A3:F3"/>
    <mergeCell ref="A4:B4"/>
    <mergeCell ref="C4:D4"/>
    <mergeCell ref="A7:F7"/>
  </mergeCells>
  <phoneticPr fontId="3"/>
  <printOptions horizontalCentered="1"/>
  <pageMargins left="0.25" right="0.25" top="0.44999999999999996" bottom="0.44999999999999996" header="0" footer="0"/>
  <pageSetup paperSize="9" orientation="landscape"/>
  <headerFooter>
    <oddFooter>&amp;LAICX認定｜AIエージェント・ストラテジスト資格&amp;C© 2026 AICX Association. All Rights Reserved. / 無断転載・複製・配布禁止&amp;R&amp;P 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000"/>
  <sheetViews>
    <sheetView showGridLines="0" workbookViewId="0">
      <selection activeCell="D4" sqref="D4"/>
    </sheetView>
  </sheetViews>
  <sheetFormatPr defaultColWidth="14.44140625" defaultRowHeight="15" customHeight="1"/>
  <cols>
    <col min="1" max="1" width="28.33203125" customWidth="1"/>
    <col min="2" max="2" width="29.44140625" customWidth="1"/>
    <col min="3" max="3" width="32.88671875" customWidth="1"/>
    <col min="4" max="4" width="30.5546875" customWidth="1"/>
    <col min="5" max="5" width="16.88671875" customWidth="1"/>
    <col min="6" max="6" width="32.88671875" customWidth="1"/>
    <col min="7" max="7" width="26" customWidth="1"/>
  </cols>
  <sheetData>
    <row r="1" spans="1:26" ht="27.75" customHeight="1">
      <c r="A1" s="41" t="s">
        <v>37</v>
      </c>
      <c r="B1" s="39"/>
      <c r="C1" s="39"/>
      <c r="D1" s="39"/>
      <c r="E1" s="39"/>
      <c r="F1" s="39"/>
      <c r="G1" s="40"/>
      <c r="H1" s="8"/>
      <c r="I1" s="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399999999999999">
      <c r="A2" s="42" t="s">
        <v>38</v>
      </c>
      <c r="B2" s="39"/>
      <c r="C2" s="39"/>
      <c r="D2" s="39"/>
      <c r="E2" s="39"/>
      <c r="F2" s="39"/>
      <c r="G2" s="40"/>
      <c r="H2" s="3"/>
      <c r="I2" s="3"/>
    </row>
    <row r="3" spans="1:26" ht="17.399999999999999">
      <c r="A3" s="48" t="s">
        <v>39</v>
      </c>
      <c r="B3" s="44"/>
      <c r="C3" s="44"/>
      <c r="D3" s="44"/>
      <c r="E3" s="44"/>
      <c r="F3" s="44"/>
      <c r="G3" s="44"/>
      <c r="H3" s="3"/>
      <c r="I3" s="3"/>
    </row>
    <row r="4" spans="1:26" ht="17.399999999999999">
      <c r="A4" s="51" t="s">
        <v>40</v>
      </c>
      <c r="B4" s="44"/>
      <c r="C4" s="44"/>
      <c r="D4" s="22" t="s">
        <v>41</v>
      </c>
      <c r="E4" s="22"/>
      <c r="F4" s="22" t="s">
        <v>42</v>
      </c>
      <c r="G4" s="22" t="s">
        <v>43</v>
      </c>
      <c r="H4" s="3"/>
      <c r="I4" s="3"/>
    </row>
    <row r="5" spans="1:26" ht="17.399999999999999">
      <c r="A5" s="9"/>
      <c r="B5" s="9"/>
      <c r="C5" s="9"/>
      <c r="D5" s="9"/>
      <c r="E5" s="9"/>
      <c r="F5" s="9"/>
      <c r="G5" s="9"/>
      <c r="H5" s="3"/>
      <c r="I5" s="3"/>
    </row>
    <row r="6" spans="1:26" ht="34.799999999999997">
      <c r="A6" s="5" t="s">
        <v>44</v>
      </c>
      <c r="B6" s="5" t="s">
        <v>45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35</v>
      </c>
      <c r="H6" s="3"/>
      <c r="I6" s="3"/>
    </row>
    <row r="7" spans="1:26" ht="34.799999999999997">
      <c r="A7" s="18" t="s">
        <v>50</v>
      </c>
      <c r="B7" s="20"/>
      <c r="C7" s="20" t="s">
        <v>58</v>
      </c>
      <c r="D7" s="20" t="s">
        <v>59</v>
      </c>
      <c r="E7" s="21"/>
      <c r="F7" s="20" t="s">
        <v>60</v>
      </c>
      <c r="G7" s="20"/>
      <c r="H7" s="3"/>
      <c r="I7" s="3"/>
    </row>
    <row r="8" spans="1:26" ht="34.799999999999997">
      <c r="A8" s="18" t="s">
        <v>51</v>
      </c>
      <c r="B8" s="20"/>
      <c r="C8" s="20" t="s">
        <v>58</v>
      </c>
      <c r="D8" s="20" t="s">
        <v>59</v>
      </c>
      <c r="E8" s="21"/>
      <c r="F8" s="20" t="s">
        <v>60</v>
      </c>
      <c r="G8" s="20"/>
      <c r="H8" s="3"/>
      <c r="I8" s="3"/>
    </row>
    <row r="9" spans="1:26" ht="34.799999999999997">
      <c r="A9" s="18" t="s">
        <v>52</v>
      </c>
      <c r="B9" s="20"/>
      <c r="C9" s="20" t="s">
        <v>58</v>
      </c>
      <c r="D9" s="20" t="s">
        <v>59</v>
      </c>
      <c r="E9" s="21"/>
      <c r="F9" s="20" t="s">
        <v>60</v>
      </c>
      <c r="G9" s="20"/>
      <c r="H9" s="3"/>
      <c r="I9" s="3"/>
    </row>
    <row r="10" spans="1:26" ht="34.799999999999997">
      <c r="A10" s="18" t="s">
        <v>53</v>
      </c>
      <c r="B10" s="20"/>
      <c r="C10" s="20" t="s">
        <v>58</v>
      </c>
      <c r="D10" s="20" t="s">
        <v>59</v>
      </c>
      <c r="E10" s="21"/>
      <c r="F10" s="20" t="s">
        <v>60</v>
      </c>
      <c r="G10" s="20"/>
      <c r="H10" s="3"/>
      <c r="I10" s="3"/>
    </row>
    <row r="11" spans="1:26" ht="34.799999999999997">
      <c r="A11" s="18" t="s">
        <v>54</v>
      </c>
      <c r="B11" s="20"/>
      <c r="C11" s="20" t="s">
        <v>58</v>
      </c>
      <c r="D11" s="20" t="s">
        <v>59</v>
      </c>
      <c r="E11" s="21"/>
      <c r="F11" s="20" t="s">
        <v>60</v>
      </c>
      <c r="G11" s="20"/>
      <c r="H11" s="3"/>
      <c r="I11" s="3"/>
    </row>
    <row r="12" spans="1:26" ht="34.799999999999997">
      <c r="A12" s="18" t="s">
        <v>55</v>
      </c>
      <c r="B12" s="20"/>
      <c r="C12" s="20" t="s">
        <v>58</v>
      </c>
      <c r="D12" s="20" t="s">
        <v>59</v>
      </c>
      <c r="E12" s="21"/>
      <c r="F12" s="20" t="s">
        <v>60</v>
      </c>
      <c r="G12" s="20"/>
      <c r="H12" s="3"/>
      <c r="I12" s="3"/>
    </row>
    <row r="13" spans="1:26" ht="34.799999999999997">
      <c r="A13" s="18" t="s">
        <v>56</v>
      </c>
      <c r="B13" s="20"/>
      <c r="C13" s="20" t="s">
        <v>58</v>
      </c>
      <c r="D13" s="20" t="s">
        <v>59</v>
      </c>
      <c r="E13" s="21"/>
      <c r="F13" s="20" t="s">
        <v>60</v>
      </c>
      <c r="G13" s="20"/>
      <c r="H13" s="3"/>
      <c r="I13" s="3"/>
    </row>
    <row r="14" spans="1:26" ht="34.799999999999997">
      <c r="A14" s="18" t="s">
        <v>57</v>
      </c>
      <c r="B14" s="20"/>
      <c r="C14" s="20" t="s">
        <v>58</v>
      </c>
      <c r="D14" s="20" t="s">
        <v>59</v>
      </c>
      <c r="E14" s="21"/>
      <c r="F14" s="20" t="s">
        <v>60</v>
      </c>
      <c r="G14" s="20"/>
      <c r="H14" s="3"/>
      <c r="I14" s="3"/>
    </row>
    <row r="15" spans="1:26" ht="17.399999999999999">
      <c r="A15" s="9"/>
      <c r="B15" s="9"/>
      <c r="C15" s="9"/>
      <c r="D15" s="9"/>
      <c r="E15" s="9"/>
      <c r="F15" s="9"/>
      <c r="G15" s="9"/>
      <c r="H15" s="3"/>
      <c r="I15" s="3"/>
    </row>
    <row r="16" spans="1:26" ht="17.399999999999999">
      <c r="A16" s="9"/>
      <c r="B16" s="9"/>
      <c r="C16" s="9"/>
      <c r="D16" s="9"/>
      <c r="E16" s="9"/>
      <c r="F16" s="9"/>
      <c r="G16" s="9"/>
      <c r="H16" s="3"/>
      <c r="I16" s="3"/>
    </row>
    <row r="17" spans="1:9" ht="15" customHeight="1">
      <c r="A17" s="3"/>
      <c r="B17" s="3"/>
      <c r="C17" s="3"/>
      <c r="D17" s="3"/>
      <c r="E17" s="3"/>
      <c r="F17" s="3"/>
      <c r="G17" s="3"/>
      <c r="H17" s="3"/>
      <c r="I17" s="3"/>
    </row>
    <row r="18" spans="1:9" ht="15" customHeight="1">
      <c r="A18" s="3"/>
      <c r="B18" s="3"/>
      <c r="C18" s="3"/>
      <c r="D18" s="3"/>
      <c r="E18" s="3"/>
      <c r="F18" s="3"/>
      <c r="G18" s="3"/>
      <c r="H18" s="3"/>
      <c r="I18" s="3"/>
    </row>
    <row r="21" spans="1:9" ht="15.75" customHeight="1"/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3:G3"/>
    <mergeCell ref="A4:C4"/>
  </mergeCells>
  <phoneticPr fontId="3"/>
  <dataValidations count="1">
    <dataValidation type="list" allowBlank="1" showErrorMessage="1" sqref="E7:E14" xr:uid="{00000000-0002-0000-0A00-000000000000}">
      <formula1>"AI,人,AI+人"</formula1>
    </dataValidation>
  </dataValidations>
  <printOptions horizontalCentered="1"/>
  <pageMargins left="0.25" right="0.25" top="0.44999999999999996" bottom="0.44999999999999996" header="0" footer="0"/>
  <pageSetup paperSize="9" orientation="landscape"/>
  <headerFooter>
    <oddFooter>&amp;LAICX認定｜AIエージェント・ストラテジスト資格&amp;C© 2026 AICX Association. All Rights Reserved. / 無断転載・複製・配布禁止&amp;R&amp;P 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>
      <selection sqref="A1:J1"/>
    </sheetView>
  </sheetViews>
  <sheetFormatPr defaultColWidth="14.44140625" defaultRowHeight="15" customHeight="1"/>
  <cols>
    <col min="1" max="1" width="6.5546875" customWidth="1"/>
    <col min="2" max="2" width="35.109375" customWidth="1"/>
    <col min="3" max="6" width="20.33203125" customWidth="1"/>
    <col min="7" max="7" width="22.5546875" customWidth="1"/>
    <col min="8" max="8" width="20.33203125" customWidth="1"/>
    <col min="9" max="9" width="21.44140625" customWidth="1"/>
    <col min="10" max="10" width="30.5546875" customWidth="1"/>
  </cols>
  <sheetData>
    <row r="1" spans="1:26" ht="27.75" customHeight="1">
      <c r="A1" s="41" t="s">
        <v>61</v>
      </c>
      <c r="B1" s="39"/>
      <c r="C1" s="39"/>
      <c r="D1" s="39"/>
      <c r="E1" s="39"/>
      <c r="F1" s="39"/>
      <c r="G1" s="39"/>
      <c r="H1" s="39"/>
      <c r="I1" s="39"/>
      <c r="J1" s="40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399999999999999">
      <c r="A2" s="42" t="s">
        <v>62</v>
      </c>
      <c r="B2" s="39"/>
      <c r="C2" s="39"/>
      <c r="D2" s="39"/>
      <c r="E2" s="39"/>
      <c r="F2" s="39"/>
      <c r="G2" s="39"/>
      <c r="H2" s="39"/>
      <c r="I2" s="39"/>
      <c r="J2" s="40"/>
      <c r="K2" s="3"/>
    </row>
    <row r="3" spans="1:26" ht="17.399999999999999">
      <c r="A3" s="43" t="s">
        <v>63</v>
      </c>
      <c r="B3" s="44"/>
      <c r="C3" s="44"/>
      <c r="D3" s="43" t="s">
        <v>64</v>
      </c>
      <c r="E3" s="44"/>
      <c r="F3" s="44"/>
      <c r="G3" s="44"/>
      <c r="H3" s="44"/>
      <c r="I3" s="44"/>
      <c r="J3" s="44"/>
      <c r="K3" s="3"/>
    </row>
    <row r="4" spans="1:26" ht="17.399999999999999">
      <c r="A4" s="43" t="s">
        <v>65</v>
      </c>
      <c r="B4" s="44"/>
      <c r="C4" s="44"/>
      <c r="D4" s="44"/>
      <c r="E4" s="44"/>
      <c r="F4" s="44"/>
      <c r="G4" s="44"/>
      <c r="H4" s="44"/>
      <c r="I4" s="44"/>
      <c r="J4" s="44"/>
      <c r="K4" s="3"/>
    </row>
    <row r="5" spans="1:26" ht="17.399999999999999">
      <c r="A5" s="9"/>
      <c r="B5" s="9"/>
      <c r="C5" s="9"/>
      <c r="D5" s="9"/>
      <c r="E5" s="9"/>
      <c r="F5" s="9"/>
      <c r="G5" s="9"/>
      <c r="H5" s="9"/>
      <c r="I5" s="9"/>
      <c r="J5" s="9"/>
      <c r="K5" s="3"/>
    </row>
    <row r="6" spans="1:26" ht="34.799999999999997">
      <c r="A6" s="5" t="s">
        <v>5</v>
      </c>
      <c r="B6" s="5" t="s">
        <v>66</v>
      </c>
      <c r="C6" s="5" t="s">
        <v>67</v>
      </c>
      <c r="D6" s="5" t="s">
        <v>68</v>
      </c>
      <c r="E6" s="5" t="s">
        <v>69</v>
      </c>
      <c r="F6" s="5" t="s">
        <v>70</v>
      </c>
      <c r="G6" s="5" t="s">
        <v>71</v>
      </c>
      <c r="H6" s="5" t="s">
        <v>72</v>
      </c>
      <c r="I6" s="5" t="s">
        <v>73</v>
      </c>
      <c r="J6" s="5" t="s">
        <v>15</v>
      </c>
      <c r="K6" s="3"/>
    </row>
    <row r="7" spans="1:26" ht="17.399999999999999">
      <c r="A7" s="6">
        <v>1</v>
      </c>
      <c r="B7" s="7" t="s">
        <v>74</v>
      </c>
      <c r="C7" s="25"/>
      <c r="D7" s="25"/>
      <c r="E7" s="25"/>
      <c r="F7" s="25"/>
      <c r="G7" s="25"/>
      <c r="H7" s="25"/>
      <c r="I7" s="25"/>
      <c r="J7" s="20"/>
      <c r="K7" s="3"/>
    </row>
    <row r="8" spans="1:26" ht="17.399999999999999">
      <c r="A8" s="6">
        <v>2</v>
      </c>
      <c r="B8" s="7" t="s">
        <v>75</v>
      </c>
      <c r="C8" s="25"/>
      <c r="D8" s="25"/>
      <c r="E8" s="25"/>
      <c r="F8" s="25"/>
      <c r="G8" s="25"/>
      <c r="H8" s="25"/>
      <c r="I8" s="25"/>
      <c r="J8" s="20"/>
      <c r="K8" s="3"/>
    </row>
    <row r="9" spans="1:26" ht="17.399999999999999">
      <c r="A9" s="6">
        <v>3</v>
      </c>
      <c r="B9" s="7" t="s">
        <v>76</v>
      </c>
      <c r="C9" s="25"/>
      <c r="D9" s="25"/>
      <c r="E9" s="25"/>
      <c r="F9" s="25"/>
      <c r="G9" s="25"/>
      <c r="H9" s="25"/>
      <c r="I9" s="25"/>
      <c r="J9" s="20"/>
      <c r="K9" s="3"/>
    </row>
    <row r="10" spans="1:26" ht="17.399999999999999">
      <c r="A10" s="6">
        <v>4</v>
      </c>
      <c r="B10" s="7" t="s">
        <v>77</v>
      </c>
      <c r="C10" s="25"/>
      <c r="D10" s="25"/>
      <c r="E10" s="25"/>
      <c r="F10" s="25"/>
      <c r="G10" s="25"/>
      <c r="H10" s="25"/>
      <c r="I10" s="25"/>
      <c r="J10" s="20"/>
      <c r="K10" s="3"/>
    </row>
    <row r="11" spans="1:26" ht="17.399999999999999">
      <c r="A11" s="6">
        <v>5</v>
      </c>
      <c r="B11" s="7" t="s">
        <v>78</v>
      </c>
      <c r="C11" s="25"/>
      <c r="D11" s="25"/>
      <c r="E11" s="25"/>
      <c r="F11" s="25"/>
      <c r="G11" s="25"/>
      <c r="H11" s="25"/>
      <c r="I11" s="25"/>
      <c r="J11" s="20"/>
      <c r="K11" s="3"/>
    </row>
    <row r="12" spans="1:26" ht="17.399999999999999">
      <c r="A12" s="6">
        <v>6</v>
      </c>
      <c r="B12" s="7" t="s">
        <v>79</v>
      </c>
      <c r="C12" s="25"/>
      <c r="D12" s="25"/>
      <c r="E12" s="25"/>
      <c r="F12" s="25"/>
      <c r="G12" s="25"/>
      <c r="H12" s="25"/>
      <c r="I12" s="25"/>
      <c r="J12" s="20"/>
      <c r="K12" s="3"/>
    </row>
    <row r="13" spans="1:26" ht="17.399999999999999">
      <c r="A13" s="6">
        <v>7</v>
      </c>
      <c r="B13" s="7" t="s">
        <v>80</v>
      </c>
      <c r="C13" s="25"/>
      <c r="D13" s="25"/>
      <c r="E13" s="25"/>
      <c r="F13" s="25"/>
      <c r="G13" s="25"/>
      <c r="H13" s="25"/>
      <c r="I13" s="25"/>
      <c r="J13" s="20"/>
      <c r="K13" s="3"/>
    </row>
    <row r="14" spans="1:26" ht="17.399999999999999">
      <c r="A14" s="9"/>
      <c r="B14" s="9"/>
      <c r="C14" s="9"/>
      <c r="D14" s="9"/>
      <c r="E14" s="9"/>
      <c r="F14" s="9"/>
      <c r="G14" s="9"/>
      <c r="H14" s="9"/>
      <c r="I14" s="9"/>
      <c r="J14" s="9"/>
      <c r="K14" s="3"/>
    </row>
    <row r="15" spans="1:26" ht="17.399999999999999">
      <c r="A15" s="9"/>
      <c r="B15" s="9"/>
      <c r="C15" s="9"/>
      <c r="D15" s="9"/>
      <c r="E15" s="9"/>
      <c r="F15" s="9"/>
      <c r="G15" s="9"/>
      <c r="H15" s="9"/>
      <c r="I15" s="9"/>
      <c r="J15" s="9"/>
      <c r="K15" s="3"/>
    </row>
    <row r="16" spans="1:26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A2:J2"/>
    <mergeCell ref="A3:C3"/>
    <mergeCell ref="D3:J3"/>
    <mergeCell ref="A4:J4"/>
  </mergeCells>
  <phoneticPr fontId="3"/>
  <conditionalFormatting sqref="C7:I13">
    <cfRule type="cellIs" dxfId="12" priority="1" stopIfTrue="1" operator="equal">
      <formula>"""R"""</formula>
    </cfRule>
    <cfRule type="cellIs" dxfId="11" priority="2" stopIfTrue="1" operator="equal">
      <formula>"""A"""</formula>
    </cfRule>
    <cfRule type="cellIs" dxfId="10" priority="3" stopIfTrue="1" operator="equal">
      <formula>"""C"""</formula>
    </cfRule>
    <cfRule type="cellIs" dxfId="9" priority="4" stopIfTrue="1" operator="equal">
      <formula>"""I"""</formula>
    </cfRule>
  </conditionalFormatting>
  <dataValidations count="1">
    <dataValidation type="list" allowBlank="1" showErrorMessage="1" sqref="C7:I13" xr:uid="{00000000-0002-0000-0D00-000000000000}">
      <formula1>"R,A,C,I"</formula1>
    </dataValidation>
  </dataValidations>
  <printOptions horizontalCentered="1"/>
  <pageMargins left="0.25" right="0.25" top="0.44999999999999996" bottom="0.44999999999999996" header="0" footer="0"/>
  <pageSetup paperSize="9" orientation="landscape"/>
  <headerFooter>
    <oddFooter>&amp;LAICX認定｜AIエージェント・ストラテジスト資格&amp;C© 2026 AICX Association. All Rights Reserved. / 無断転載・複製・配布禁止&amp;R&amp;P 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showGridLines="0" tabSelected="1" topLeftCell="A31" workbookViewId="0">
      <selection activeCell="E34" sqref="E34"/>
    </sheetView>
  </sheetViews>
  <sheetFormatPr defaultColWidth="14.44140625" defaultRowHeight="15" customHeight="1"/>
  <cols>
    <col min="1" max="1" width="13.109375" style="3" customWidth="1"/>
    <col min="2" max="2" width="10.109375" style="3" customWidth="1"/>
    <col min="3" max="3" width="16.5546875" style="3" customWidth="1"/>
    <col min="4" max="4" width="24.5546875" style="3" customWidth="1"/>
    <col min="5" max="5" width="31" style="3" customWidth="1"/>
    <col min="6" max="6" width="24.5546875" style="3" customWidth="1"/>
    <col min="7" max="7" width="35.33203125" style="3" customWidth="1"/>
    <col min="8" max="8" width="15.44140625" style="3" customWidth="1"/>
    <col min="9" max="26" width="9.33203125" style="3" customWidth="1"/>
    <col min="27" max="16384" width="14.44140625" style="3"/>
  </cols>
  <sheetData>
    <row r="1" spans="1:26" ht="27.75" customHeight="1">
      <c r="A1" s="53" t="s">
        <v>81</v>
      </c>
      <c r="B1" s="54"/>
      <c r="C1" s="54"/>
      <c r="D1" s="54"/>
      <c r="E1" s="54"/>
      <c r="F1" s="54"/>
      <c r="G1" s="54"/>
      <c r="H1" s="55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24" customHeight="1">
      <c r="A2" s="56" t="s">
        <v>82</v>
      </c>
      <c r="B2" s="54"/>
      <c r="C2" s="54"/>
      <c r="D2" s="54"/>
      <c r="E2" s="54"/>
      <c r="F2" s="54"/>
      <c r="G2" s="54"/>
      <c r="H2" s="5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4.2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21.75" customHeight="1">
      <c r="A4" s="28" t="s">
        <v>83</v>
      </c>
      <c r="B4" s="57"/>
      <c r="C4" s="44"/>
      <c r="D4" s="44"/>
      <c r="E4" s="28" t="s">
        <v>19</v>
      </c>
      <c r="F4" s="57"/>
      <c r="G4" s="44"/>
      <c r="H4" s="44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21.75" customHeight="1">
      <c r="A5" s="28" t="s">
        <v>21</v>
      </c>
      <c r="B5" s="29"/>
      <c r="C5" s="28" t="s">
        <v>20</v>
      </c>
      <c r="D5" s="29"/>
      <c r="E5" s="28" t="s">
        <v>84</v>
      </c>
      <c r="F5" s="29"/>
      <c r="G5" s="28" t="s">
        <v>161</v>
      </c>
      <c r="H5" s="29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4.2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24" customHeight="1">
      <c r="A7" s="30" t="s">
        <v>86</v>
      </c>
      <c r="B7" s="30" t="s">
        <v>87</v>
      </c>
      <c r="C7" s="30" t="s">
        <v>88</v>
      </c>
      <c r="D7" s="30" t="s">
        <v>162</v>
      </c>
      <c r="E7" s="30" t="s">
        <v>163</v>
      </c>
      <c r="F7" s="30" t="s">
        <v>0</v>
      </c>
      <c r="G7" s="30" t="s">
        <v>89</v>
      </c>
      <c r="H7" s="30" t="s">
        <v>15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30.75" customHeight="1">
      <c r="A8" s="52" t="s">
        <v>91</v>
      </c>
      <c r="B8" s="28" t="s">
        <v>92</v>
      </c>
      <c r="C8" s="33" t="s">
        <v>19</v>
      </c>
      <c r="D8" s="34" t="s">
        <v>164</v>
      </c>
      <c r="E8" s="29"/>
      <c r="F8" s="34" t="s">
        <v>165</v>
      </c>
      <c r="G8" s="35" t="s">
        <v>166</v>
      </c>
      <c r="H8" s="29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30.75" customHeight="1">
      <c r="A9" s="44"/>
      <c r="B9" s="28" t="s">
        <v>92</v>
      </c>
      <c r="C9" s="33" t="s">
        <v>93</v>
      </c>
      <c r="D9" s="34" t="s">
        <v>167</v>
      </c>
      <c r="E9" s="29"/>
      <c r="F9" s="34" t="s">
        <v>168</v>
      </c>
      <c r="G9" s="35" t="s">
        <v>94</v>
      </c>
      <c r="H9" s="29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30.75" customHeight="1">
      <c r="A10" s="44"/>
      <c r="B10" s="28" t="s">
        <v>92</v>
      </c>
      <c r="C10" s="33" t="s">
        <v>95</v>
      </c>
      <c r="D10" s="34" t="s">
        <v>169</v>
      </c>
      <c r="E10" s="29"/>
      <c r="F10" s="34" t="s">
        <v>170</v>
      </c>
      <c r="G10" s="35" t="s">
        <v>96</v>
      </c>
      <c r="H10" s="29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30.75" customHeight="1">
      <c r="A11" s="44"/>
      <c r="B11" s="28" t="s">
        <v>92</v>
      </c>
      <c r="C11" s="33" t="s">
        <v>97</v>
      </c>
      <c r="D11" s="34" t="s">
        <v>171</v>
      </c>
      <c r="E11" s="29"/>
      <c r="F11" s="34" t="s">
        <v>172</v>
      </c>
      <c r="G11" s="35" t="s">
        <v>98</v>
      </c>
      <c r="H11" s="29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30.75" customHeight="1">
      <c r="A12" s="44"/>
      <c r="B12" s="28" t="s">
        <v>92</v>
      </c>
      <c r="C12" s="33" t="s">
        <v>99</v>
      </c>
      <c r="D12" s="34" t="s">
        <v>173</v>
      </c>
      <c r="E12" s="29"/>
      <c r="F12" s="34" t="s">
        <v>174</v>
      </c>
      <c r="G12" s="35" t="s">
        <v>100</v>
      </c>
      <c r="H12" s="29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24.75" customHeight="1">
      <c r="A13" s="31" t="s">
        <v>33</v>
      </c>
      <c r="B13" s="31" t="s">
        <v>90</v>
      </c>
      <c r="C13" s="33" t="s">
        <v>101</v>
      </c>
      <c r="D13" s="34" t="s">
        <v>102</v>
      </c>
      <c r="E13" s="32"/>
      <c r="F13" s="34" t="s">
        <v>175</v>
      </c>
      <c r="G13" s="31" t="s">
        <v>176</v>
      </c>
      <c r="H13" s="29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30.75" customHeight="1">
      <c r="A14" s="52" t="s">
        <v>104</v>
      </c>
      <c r="B14" s="28" t="s">
        <v>92</v>
      </c>
      <c r="C14" s="33" t="s">
        <v>105</v>
      </c>
      <c r="D14" s="34" t="s">
        <v>177</v>
      </c>
      <c r="E14" s="29"/>
      <c r="F14" s="34" t="s">
        <v>178</v>
      </c>
      <c r="G14" s="35" t="s">
        <v>106</v>
      </c>
      <c r="H14" s="29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30.75" customHeight="1">
      <c r="A15" s="44"/>
      <c r="B15" s="28" t="s">
        <v>92</v>
      </c>
      <c r="C15" s="33" t="s">
        <v>107</v>
      </c>
      <c r="D15" s="34" t="s">
        <v>179</v>
      </c>
      <c r="E15" s="29"/>
      <c r="F15" s="34" t="s">
        <v>180</v>
      </c>
      <c r="G15" s="35" t="s">
        <v>108</v>
      </c>
      <c r="H15" s="29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30.75" customHeight="1">
      <c r="A16" s="44"/>
      <c r="B16" s="28" t="s">
        <v>92</v>
      </c>
      <c r="C16" s="33" t="s">
        <v>109</v>
      </c>
      <c r="D16" s="34" t="s">
        <v>181</v>
      </c>
      <c r="E16" s="29"/>
      <c r="F16" s="34" t="s">
        <v>182</v>
      </c>
      <c r="G16" s="35" t="s">
        <v>110</v>
      </c>
      <c r="H16" s="29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30.75" customHeight="1">
      <c r="A17" s="44"/>
      <c r="B17" s="28" t="s">
        <v>92</v>
      </c>
      <c r="C17" s="33" t="s">
        <v>34</v>
      </c>
      <c r="D17" s="34" t="s">
        <v>183</v>
      </c>
      <c r="E17" s="29"/>
      <c r="F17" s="34" t="s">
        <v>184</v>
      </c>
      <c r="G17" s="35" t="s">
        <v>111</v>
      </c>
      <c r="H17" s="29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30.75" customHeight="1">
      <c r="A18" s="44"/>
      <c r="B18" s="28" t="s">
        <v>92</v>
      </c>
      <c r="C18" s="33" t="s">
        <v>112</v>
      </c>
      <c r="D18" s="34" t="s">
        <v>185</v>
      </c>
      <c r="E18" s="29"/>
      <c r="F18" s="34" t="s">
        <v>186</v>
      </c>
      <c r="G18" s="35" t="s">
        <v>113</v>
      </c>
      <c r="H18" s="29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30.75" customHeight="1">
      <c r="A19" s="44"/>
      <c r="B19" s="28" t="s">
        <v>92</v>
      </c>
      <c r="C19" s="33" t="s">
        <v>114</v>
      </c>
      <c r="D19" s="34" t="s">
        <v>187</v>
      </c>
      <c r="E19" s="29"/>
      <c r="F19" s="34" t="s">
        <v>188</v>
      </c>
      <c r="G19" s="35" t="s">
        <v>115</v>
      </c>
      <c r="H19" s="29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24.75" customHeight="1">
      <c r="A20" s="31" t="s">
        <v>33</v>
      </c>
      <c r="B20" s="31" t="s">
        <v>90</v>
      </c>
      <c r="C20" s="33" t="s">
        <v>101</v>
      </c>
      <c r="D20" s="34" t="s">
        <v>102</v>
      </c>
      <c r="E20" s="32"/>
      <c r="F20" s="34" t="s">
        <v>175</v>
      </c>
      <c r="G20" s="31" t="s">
        <v>176</v>
      </c>
      <c r="H20" s="29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30.75" customHeight="1">
      <c r="A21" s="52" t="s">
        <v>116</v>
      </c>
      <c r="B21" s="28" t="s">
        <v>117</v>
      </c>
      <c r="C21" s="33" t="s">
        <v>118</v>
      </c>
      <c r="D21" s="34" t="s">
        <v>189</v>
      </c>
      <c r="E21" s="29"/>
      <c r="F21" s="34" t="s">
        <v>190</v>
      </c>
      <c r="G21" s="35" t="s">
        <v>119</v>
      </c>
      <c r="H21" s="29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30.75" customHeight="1">
      <c r="A22" s="44"/>
      <c r="B22" s="28" t="s">
        <v>117</v>
      </c>
      <c r="C22" s="33" t="s">
        <v>120</v>
      </c>
      <c r="D22" s="34" t="s">
        <v>191</v>
      </c>
      <c r="E22" s="29"/>
      <c r="F22" s="34" t="s">
        <v>192</v>
      </c>
      <c r="G22" s="35" t="s">
        <v>121</v>
      </c>
      <c r="H22" s="29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30.75" customHeight="1">
      <c r="A23" s="44"/>
      <c r="B23" s="28" t="s">
        <v>117</v>
      </c>
      <c r="C23" s="33" t="s">
        <v>122</v>
      </c>
      <c r="D23" s="34" t="s">
        <v>193</v>
      </c>
      <c r="E23" s="29"/>
      <c r="F23" s="34" t="s">
        <v>194</v>
      </c>
      <c r="G23" s="35" t="s">
        <v>123</v>
      </c>
      <c r="H23" s="29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30.75" customHeight="1">
      <c r="A24" s="44"/>
      <c r="B24" s="28" t="s">
        <v>117</v>
      </c>
      <c r="C24" s="33" t="s">
        <v>124</v>
      </c>
      <c r="D24" s="34" t="s">
        <v>195</v>
      </c>
      <c r="E24" s="29"/>
      <c r="F24" s="34" t="s">
        <v>196</v>
      </c>
      <c r="G24" s="35" t="s">
        <v>125</v>
      </c>
      <c r="H24" s="29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30.75" customHeight="1">
      <c r="A25" s="44"/>
      <c r="B25" s="28" t="s">
        <v>126</v>
      </c>
      <c r="C25" s="33" t="s">
        <v>127</v>
      </c>
      <c r="D25" s="34" t="s">
        <v>197</v>
      </c>
      <c r="E25" s="29"/>
      <c r="F25" s="34" t="s">
        <v>198</v>
      </c>
      <c r="G25" s="35" t="s">
        <v>128</v>
      </c>
      <c r="H25" s="29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30.75" customHeight="1">
      <c r="A26" s="44"/>
      <c r="B26" s="28" t="s">
        <v>126</v>
      </c>
      <c r="C26" s="33" t="s">
        <v>129</v>
      </c>
      <c r="D26" s="34" t="s">
        <v>199</v>
      </c>
      <c r="E26" s="29"/>
      <c r="F26" s="34" t="s">
        <v>200</v>
      </c>
      <c r="G26" s="35" t="s">
        <v>130</v>
      </c>
      <c r="H26" s="29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30.75" customHeight="1">
      <c r="A27" s="44"/>
      <c r="B27" s="28" t="s">
        <v>126</v>
      </c>
      <c r="C27" s="33" t="s">
        <v>131</v>
      </c>
      <c r="D27" s="34" t="s">
        <v>201</v>
      </c>
      <c r="E27" s="29"/>
      <c r="F27" s="34" t="s">
        <v>202</v>
      </c>
      <c r="G27" s="35" t="s">
        <v>132</v>
      </c>
      <c r="H27" s="29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24.75" customHeight="1">
      <c r="A28" s="31" t="s">
        <v>33</v>
      </c>
      <c r="B28" s="31" t="s">
        <v>90</v>
      </c>
      <c r="C28" s="33" t="s">
        <v>101</v>
      </c>
      <c r="D28" s="34" t="s">
        <v>102</v>
      </c>
      <c r="E28" s="32"/>
      <c r="F28" s="34" t="s">
        <v>175</v>
      </c>
      <c r="G28" s="31" t="s">
        <v>176</v>
      </c>
      <c r="H28" s="29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30.75" customHeight="1">
      <c r="A29" s="52" t="s">
        <v>133</v>
      </c>
      <c r="B29" s="28" t="s">
        <v>134</v>
      </c>
      <c r="C29" s="33" t="s">
        <v>135</v>
      </c>
      <c r="D29" s="34" t="s">
        <v>203</v>
      </c>
      <c r="E29" s="29"/>
      <c r="F29" s="34" t="s">
        <v>204</v>
      </c>
      <c r="G29" s="35" t="s">
        <v>136</v>
      </c>
      <c r="H29" s="29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30.75" customHeight="1">
      <c r="A30" s="44"/>
      <c r="B30" s="28" t="s">
        <v>134</v>
      </c>
      <c r="C30" s="33" t="s">
        <v>137</v>
      </c>
      <c r="D30" s="34" t="s">
        <v>205</v>
      </c>
      <c r="E30" s="29"/>
      <c r="F30" s="34" t="s">
        <v>206</v>
      </c>
      <c r="G30" s="35" t="s">
        <v>138</v>
      </c>
      <c r="H30" s="29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30.75" customHeight="1">
      <c r="A31" s="44"/>
      <c r="B31" s="28" t="s">
        <v>134</v>
      </c>
      <c r="C31" s="33" t="s">
        <v>139</v>
      </c>
      <c r="D31" s="34" t="s">
        <v>207</v>
      </c>
      <c r="E31" s="29"/>
      <c r="F31" s="34" t="s">
        <v>208</v>
      </c>
      <c r="G31" s="35" t="s">
        <v>140</v>
      </c>
      <c r="H31" s="29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30.75" customHeight="1">
      <c r="A32" s="44"/>
      <c r="B32" s="28" t="s">
        <v>134</v>
      </c>
      <c r="C32" s="33" t="s">
        <v>141</v>
      </c>
      <c r="D32" s="34" t="s">
        <v>209</v>
      </c>
      <c r="E32" s="29"/>
      <c r="F32" s="34" t="s">
        <v>210</v>
      </c>
      <c r="G32" s="35" t="s">
        <v>142</v>
      </c>
      <c r="H32" s="29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30.75" customHeight="1">
      <c r="A33" s="44"/>
      <c r="B33" s="28" t="s">
        <v>134</v>
      </c>
      <c r="C33" s="33" t="s">
        <v>143</v>
      </c>
      <c r="D33" s="34" t="s">
        <v>211</v>
      </c>
      <c r="E33" s="29"/>
      <c r="F33" s="34" t="s">
        <v>212</v>
      </c>
      <c r="G33" s="35" t="s">
        <v>144</v>
      </c>
      <c r="H33" s="29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30.75" customHeight="1">
      <c r="A34" s="44"/>
      <c r="B34" s="28" t="s">
        <v>134</v>
      </c>
      <c r="C34" s="33" t="s">
        <v>145</v>
      </c>
      <c r="D34" s="34" t="s">
        <v>213</v>
      </c>
      <c r="E34" s="29"/>
      <c r="F34" s="34" t="s">
        <v>214</v>
      </c>
      <c r="G34" s="35" t="s">
        <v>146</v>
      </c>
      <c r="H34" s="29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30.75" customHeight="1">
      <c r="A35" s="44"/>
      <c r="B35" s="28" t="s">
        <v>134</v>
      </c>
      <c r="C35" s="33" t="s">
        <v>147</v>
      </c>
      <c r="D35" s="34" t="s">
        <v>215</v>
      </c>
      <c r="E35" s="29"/>
      <c r="F35" s="34" t="s">
        <v>216</v>
      </c>
      <c r="G35" s="35" t="s">
        <v>148</v>
      </c>
      <c r="H35" s="29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24.75" customHeight="1">
      <c r="A36" s="31" t="s">
        <v>33</v>
      </c>
      <c r="B36" s="31" t="s">
        <v>90</v>
      </c>
      <c r="C36" s="33" t="s">
        <v>101</v>
      </c>
      <c r="D36" s="34" t="s">
        <v>102</v>
      </c>
      <c r="E36" s="32"/>
      <c r="F36" s="34" t="s">
        <v>175</v>
      </c>
      <c r="G36" s="31" t="s">
        <v>176</v>
      </c>
      <c r="H36" s="29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30.75" customHeight="1">
      <c r="A37" s="52" t="s">
        <v>217</v>
      </c>
      <c r="B37" s="28" t="s">
        <v>149</v>
      </c>
      <c r="C37" s="33" t="s">
        <v>150</v>
      </c>
      <c r="D37" s="34" t="s">
        <v>218</v>
      </c>
      <c r="E37" s="29"/>
      <c r="F37" s="34" t="s">
        <v>219</v>
      </c>
      <c r="G37" s="35" t="s">
        <v>151</v>
      </c>
      <c r="H37" s="2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30.75" customHeight="1">
      <c r="A38" s="44"/>
      <c r="B38" s="28" t="s">
        <v>149</v>
      </c>
      <c r="C38" s="33" t="s">
        <v>152</v>
      </c>
      <c r="D38" s="34" t="s">
        <v>220</v>
      </c>
      <c r="E38" s="29"/>
      <c r="F38" s="34" t="s">
        <v>221</v>
      </c>
      <c r="G38" s="35" t="s">
        <v>153</v>
      </c>
      <c r="H38" s="29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30.75" customHeight="1">
      <c r="A39" s="44"/>
      <c r="B39" s="28" t="s">
        <v>149</v>
      </c>
      <c r="C39" s="33" t="s">
        <v>154</v>
      </c>
      <c r="D39" s="34" t="s">
        <v>222</v>
      </c>
      <c r="E39" s="29"/>
      <c r="F39" s="34" t="s">
        <v>223</v>
      </c>
      <c r="G39" s="35" t="s">
        <v>155</v>
      </c>
      <c r="H39" s="29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30.75" customHeight="1">
      <c r="A40" s="44"/>
      <c r="B40" s="28" t="s">
        <v>156</v>
      </c>
      <c r="C40" s="33" t="s">
        <v>157</v>
      </c>
      <c r="D40" s="34" t="s">
        <v>224</v>
      </c>
      <c r="E40" s="29"/>
      <c r="F40" s="34" t="s">
        <v>225</v>
      </c>
      <c r="G40" s="35" t="s">
        <v>158</v>
      </c>
      <c r="H40" s="29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30.75" customHeight="1">
      <c r="A41" s="44"/>
      <c r="B41" s="28" t="s">
        <v>156</v>
      </c>
      <c r="C41" s="33" t="s">
        <v>159</v>
      </c>
      <c r="D41" s="34" t="s">
        <v>226</v>
      </c>
      <c r="E41" s="29"/>
      <c r="F41" s="34" t="s">
        <v>227</v>
      </c>
      <c r="G41" s="35" t="s">
        <v>160</v>
      </c>
      <c r="H41" s="29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24.75" customHeight="1">
      <c r="A42" s="31" t="s">
        <v>33</v>
      </c>
      <c r="B42" s="31" t="s">
        <v>90</v>
      </c>
      <c r="C42" s="33" t="s">
        <v>101</v>
      </c>
      <c r="D42" s="34" t="s">
        <v>102</v>
      </c>
      <c r="E42" s="32"/>
      <c r="F42" s="34" t="s">
        <v>175</v>
      </c>
      <c r="G42" s="31" t="s">
        <v>176</v>
      </c>
      <c r="H42" s="29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21.75" customHeight="1">
      <c r="A44" s="36" t="s">
        <v>103</v>
      </c>
      <c r="B44" s="58" t="s">
        <v>228</v>
      </c>
      <c r="C44" s="59"/>
      <c r="D44" s="59"/>
      <c r="E44" s="59"/>
      <c r="F44" s="59"/>
      <c r="G44" s="59"/>
      <c r="H44" s="60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25.5" customHeight="1">
      <c r="A45" s="37" t="s">
        <v>85</v>
      </c>
      <c r="B45" s="58" t="s">
        <v>229</v>
      </c>
      <c r="C45" s="59"/>
      <c r="D45" s="59"/>
      <c r="E45" s="59"/>
      <c r="F45" s="59"/>
      <c r="G45" s="59"/>
      <c r="H45" s="6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25.5" customHeight="1">
      <c r="A46" s="38" t="s">
        <v>230</v>
      </c>
      <c r="B46" s="58" t="s">
        <v>231</v>
      </c>
      <c r="C46" s="59"/>
      <c r="D46" s="59"/>
      <c r="E46" s="59"/>
      <c r="F46" s="59"/>
      <c r="G46" s="59"/>
      <c r="H46" s="60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2">
    <mergeCell ref="A29:A35"/>
    <mergeCell ref="A37:A41"/>
    <mergeCell ref="B44:H44"/>
    <mergeCell ref="B45:H45"/>
    <mergeCell ref="B46:H46"/>
    <mergeCell ref="A14:A19"/>
    <mergeCell ref="A21:A27"/>
    <mergeCell ref="A1:H1"/>
    <mergeCell ref="A2:H2"/>
    <mergeCell ref="B4:D4"/>
    <mergeCell ref="F4:H4"/>
    <mergeCell ref="A8:A12"/>
  </mergeCells>
  <phoneticPr fontId="3"/>
  <conditionalFormatting sqref="E13">
    <cfRule type="containsText" dxfId="8" priority="1" operator="containsText" text="Go">
      <formula>NOT(ISERROR(SEARCH(("Go"),(E13))))</formula>
    </cfRule>
    <cfRule type="containsText" dxfId="7" priority="2" operator="containsText" text="Pivot">
      <formula>NOT(ISERROR(SEARCH(("Pivot"),(E13))))</formula>
    </cfRule>
    <cfRule type="containsText" dxfId="6" priority="3" operator="containsText" text="No-Go">
      <formula>NOT(ISERROR(SEARCH(("No-Go"),(E13))))</formula>
    </cfRule>
  </conditionalFormatting>
  <conditionalFormatting sqref="F5">
    <cfRule type="containsText" dxfId="5" priority="4" operator="containsText" text="Go">
      <formula>NOT(ISERROR(SEARCH(("Go"),(F5))))</formula>
    </cfRule>
    <cfRule type="containsText" dxfId="4" priority="5" operator="containsText" text="Pivot">
      <formula>NOT(ISERROR(SEARCH(("Pivot"),(F5))))</formula>
    </cfRule>
    <cfRule type="containsText" dxfId="3" priority="6" operator="containsText" text="No-Go">
      <formula>NOT(ISERROR(SEARCH(("No-Go"),(F5))))</formula>
    </cfRule>
    <cfRule type="containsText" dxfId="2" priority="7" operator="containsText" text="Go">
      <formula>NOT(ISERROR(SEARCH(("Go"),(F5))))</formula>
    </cfRule>
    <cfRule type="containsText" dxfId="1" priority="8" operator="containsText" text="Pivot">
      <formula>NOT(ISERROR(SEARCH(("Pivot"),(F5))))</formula>
    </cfRule>
    <cfRule type="containsText" dxfId="0" priority="9" operator="containsText" text="No-Go">
      <formula>NOT(ISERROR(SEARCH(("No-Go"),(F5))))</formula>
    </cfRule>
  </conditionalFormatting>
  <dataValidations count="1">
    <dataValidation type="list" allowBlank="1" showErrorMessage="1" sqref="F5 E13 E20 E28 E36 E42" xr:uid="{00000000-0002-0000-1000-000000000000}">
      <formula1>"Go,Pivot,No-Go"</formula1>
    </dataValidation>
  </dataValidation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Ch01_任せたい仕事</vt:lpstr>
      <vt:lpstr>Ch02_SIPOC_As-Is</vt:lpstr>
      <vt:lpstr>Ch03-04_データ・ワークフロー</vt:lpstr>
      <vt:lpstr>Ch05_推進体制・責任</vt:lpstr>
      <vt:lpstr>Ch06_5D進行チェック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shimadzu</dc:creator>
  <cp:lastModifiedBy>Umetsu, Takahiro/梅津 希裕</cp:lastModifiedBy>
  <dcterms:created xsi:type="dcterms:W3CDTF">2026-07-10T03:39:46Z</dcterms:created>
  <dcterms:modified xsi:type="dcterms:W3CDTF">2026-07-10T03:41:40Z</dcterms:modified>
</cp:coreProperties>
</file>