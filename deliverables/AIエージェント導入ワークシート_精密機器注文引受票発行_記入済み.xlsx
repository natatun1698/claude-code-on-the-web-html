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42" firstSheet="1" activeTab="4" autoFilterDateGrouping="1"/>
  </bookViews>
  <sheets>
    <sheet name="Ch01_任せたい仕事" sheetId="1" state="visible" r:id="rId1"/>
    <sheet name="Ch02_SIPOC_As-Is" sheetId="2" state="visible" r:id="rId2"/>
    <sheet name="Ch03-04_データ・ワークフロー" sheetId="3" state="visible" r:id="rId3"/>
    <sheet name="Ch05_推進体制・責任" sheetId="4" state="visible" r:id="rId4"/>
    <sheet name="Ch06_5D進行チェック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rlito"/>
      <color rgb="FF000000"/>
      <sz val="10"/>
      <scheme val="minor"/>
    </font>
    <font>
      <name val="Yu Gothic"/>
      <charset val="128"/>
      <family val="3"/>
      <color rgb="FF1F2937"/>
      <sz val="10"/>
    </font>
    <font>
      <name val="Yu Gothic"/>
      <charset val="128"/>
      <family val="3"/>
      <b val="1"/>
      <color rgb="FF17324D"/>
      <sz val="16"/>
    </font>
    <font>
      <name val="Carlito"/>
      <charset val="128"/>
      <family val="3"/>
      <sz val="6"/>
      <scheme val="minor"/>
    </font>
    <font>
      <name val="Noto Sans JP"/>
      <charset val="128"/>
      <family val="3"/>
      <color rgb="FF1F2937"/>
      <sz val="10"/>
    </font>
    <font>
      <name val="Noto Sans JP"/>
      <charset val="128"/>
      <family val="3"/>
      <sz val="10"/>
    </font>
    <font>
      <name val="Noto Sans JP"/>
      <charset val="128"/>
      <family val="3"/>
      <color rgb="FF000000"/>
      <sz val="10"/>
    </font>
    <font>
      <name val="Noto Sans JP"/>
      <charset val="128"/>
      <family val="3"/>
      <color rgb="FF64748B"/>
      <sz val="10"/>
    </font>
    <font>
      <name val="Noto Sans JP"/>
      <charset val="128"/>
      <family val="3"/>
      <b val="1"/>
      <color rgb="FF17324D"/>
      <sz val="16"/>
    </font>
    <font>
      <name val="Noto Sans JP"/>
      <charset val="128"/>
      <family val="3"/>
      <b val="1"/>
      <color rgb="FF17324D"/>
      <sz val="10"/>
    </font>
    <font>
      <name val="Noto Sans JP"/>
      <charset val="128"/>
      <family val="3"/>
      <b val="1"/>
      <color rgb="FFFFFFFF"/>
      <sz val="10"/>
    </font>
    <font>
      <name val="Noto Sans JP"/>
      <charset val="128"/>
      <family val="3"/>
      <b val="1"/>
      <color rgb="FF1F2937"/>
      <sz val="10"/>
    </font>
    <font>
      <name val="Noto Sans JP"/>
      <charset val="128"/>
      <family val="3"/>
      <b val="1"/>
      <color rgb="FF64748B"/>
      <sz val="10"/>
    </font>
    <font>
      <name val="Noto Sans JP"/>
      <charset val="128"/>
      <family val="3"/>
      <b val="1"/>
      <color rgb="FFFFFFFF"/>
      <sz val="17"/>
    </font>
    <font>
      <name val="Noto Sans JP"/>
      <charset val="128"/>
      <family val="3"/>
      <color theme="1"/>
      <sz val="11"/>
    </font>
    <font>
      <name val="Noto Sans JP"/>
      <charset val="128"/>
      <family val="3"/>
      <color rgb="FF000000"/>
      <sz val="11"/>
    </font>
    <font>
      <name val="Noto Sans JP"/>
      <charset val="128"/>
      <family val="3"/>
      <color rgb="FFE5E7EB"/>
      <sz val="8"/>
    </font>
    <font>
      <name val="Noto Sans JP"/>
      <charset val="128"/>
      <family val="3"/>
      <b val="1"/>
      <color rgb="FF172033"/>
      <sz val="8"/>
    </font>
    <font>
      <name val="Noto Sans JP"/>
      <charset val="128"/>
      <family val="3"/>
      <color rgb="FF111827"/>
      <sz val="8"/>
    </font>
    <font>
      <name val="Noto Sans JP"/>
      <charset val="128"/>
      <family val="3"/>
      <b val="1"/>
      <color rgb="FF92400E"/>
      <sz val="7"/>
    </font>
    <font>
      <name val="Noto Sans JP"/>
      <charset val="128"/>
      <family val="3"/>
      <b val="1"/>
      <color rgb="FFFFFFFF"/>
      <sz val="8"/>
    </font>
    <font>
      <name val="Noto Sans JP"/>
      <charset val="128"/>
      <family val="3"/>
      <color rgb="FF64748B"/>
      <sz val="7"/>
    </font>
    <font>
      <name val="Noto Sans JP"/>
      <charset val="128"/>
      <family val="3"/>
      <b val="1"/>
      <color rgb="FF166534"/>
      <sz val="7"/>
    </font>
    <font>
      <name val="Noto Sans JP"/>
      <charset val="128"/>
      <family val="3"/>
      <b val="1"/>
      <color rgb="FF111827"/>
      <sz val="8"/>
    </font>
    <font>
      <name val="Noto Sans JP"/>
      <charset val="128"/>
      <family val="3"/>
      <color rgb="FF64748B"/>
      <sz val="8"/>
    </font>
    <font>
      <name val="Noto Sans JP"/>
      <charset val="128"/>
      <family val="3"/>
      <b val="1"/>
      <color rgb="FF991B1B"/>
      <sz val="7"/>
    </font>
  </fonts>
  <fills count="19">
    <fill>
      <patternFill/>
    </fill>
    <fill>
      <patternFill patternType="gray125"/>
    </fill>
    <fill>
      <patternFill patternType="solid">
        <fgColor rgb="FF17324D"/>
        <bgColor rgb="FF17324D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rgb="FF0A3041"/>
        <bgColor rgb="FF0A3041"/>
      </patternFill>
    </fill>
    <fill>
      <patternFill patternType="solid">
        <fgColor rgb="FFEAF4FF"/>
        <bgColor rgb="FFEAF4FF"/>
      </patternFill>
    </fill>
    <fill>
      <patternFill patternType="solid">
        <fgColor rgb="FF172033"/>
        <bgColor rgb="FF172033"/>
      </patternFill>
    </fill>
    <fill>
      <patternFill patternType="solid">
        <fgColor rgb="FFE5E7EB"/>
        <bgColor rgb="FFE5E7EB"/>
      </patternFill>
    </fill>
    <fill>
      <patternFill patternType="solid">
        <fgColor rgb="FFFFFDF7"/>
        <bgColor rgb="FFFFFDF7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F0F9FF"/>
        <bgColor rgb="FFF0F9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/>
      <diagonal/>
    </border>
    <border>
      <left style="thin">
        <color rgb="FFCBD5E1"/>
      </left>
      <right style="thin">
        <color rgb="FFAAB6CA"/>
      </right>
      <top/>
      <bottom/>
      <diagonal/>
    </border>
    <border>
      <left style="thin">
        <color rgb="FFAAB6CA"/>
      </left>
      <right style="thin">
        <color rgb="FFAAB6CA"/>
      </right>
      <top style="thin">
        <color rgb="FFAAB6CA"/>
      </top>
      <bottom style="thin">
        <color rgb="FFAAB6CA"/>
      </bottom>
      <diagonal/>
    </border>
    <border>
      <left style="thin">
        <color rgb="FFCBD5E1"/>
      </left>
      <right style="thin">
        <color rgb="FFAAB6CA"/>
      </right>
      <top/>
      <bottom style="thin">
        <color rgb="FFAAB6CA"/>
      </bottom>
      <diagonal/>
    </border>
    <border>
      <left style="thin">
        <color rgb="FF172033"/>
      </left>
      <right/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 style="thin">
        <color rgb="FF172033"/>
      </bottom>
      <diagonal/>
    </border>
    <border>
      <left/>
      <right style="thin">
        <color rgb="FF172033"/>
      </right>
      <top style="thin">
        <color rgb="FF172033"/>
      </top>
      <bottom style="thin">
        <color rgb="FF172033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 style="thin">
        <color rgb="FFAAB6CA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172033"/>
      </left>
      <right style="thin">
        <color rgb="FF172033"/>
      </right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/>
      <diagonal/>
    </border>
    <border>
      <left/>
      <right style="thin">
        <color rgb="FF172033"/>
      </right>
      <top style="thin">
        <color rgb="FF172033"/>
      </top>
      <bottom/>
      <diagonal/>
    </border>
  </borders>
  <cellStyleXfs count="1">
    <xf numFmtId="0" fontId="0" fillId="0" borderId="4"/>
  </cellStyleXfs>
  <cellXfs count="82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10" fillId="2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top" wrapText="1"/>
    </xf>
    <xf numFmtId="0" fontId="4" fillId="3" borderId="5" applyAlignment="1" pivotButton="0" quotePrefix="0" xfId="0">
      <alignment horizontal="left" vertical="top" wrapText="1"/>
    </xf>
    <xf numFmtId="0" fontId="8" fillId="0" borderId="0" pivotButton="0" quotePrefix="0" xfId="0"/>
    <xf numFmtId="0" fontId="4" fillId="3" borderId="1" applyAlignment="1" pivotButton="0" quotePrefix="0" xfId="0">
      <alignment vertical="top" wrapText="1"/>
    </xf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" fontId="4" fillId="5" borderId="5" applyAlignment="1" pivotButton="0" quotePrefix="0" xfId="0">
      <alignment horizontal="center" vertical="top" wrapText="1"/>
    </xf>
    <xf numFmtId="164" fontId="4" fillId="6" borderId="5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3" borderId="11" applyAlignment="1" pivotButton="0" quotePrefix="0" xfId="0">
      <alignment vertical="top" wrapText="1"/>
    </xf>
    <xf numFmtId="0" fontId="11" fillId="3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4" fillId="6" borderId="5" applyAlignment="1" pivotButton="0" quotePrefix="0" xfId="0">
      <alignment horizontal="left" vertical="top" wrapText="1"/>
    </xf>
    <xf numFmtId="0" fontId="4" fillId="6" borderId="5" applyAlignment="1" pivotButton="0" quotePrefix="0" xfId="0">
      <alignment horizontal="center" vertical="top" wrapText="1"/>
    </xf>
    <xf numFmtId="0" fontId="7" fillId="8" borderId="21" applyAlignment="1" pivotButton="0" quotePrefix="0" xfId="0">
      <alignment vertical="top" wrapText="1"/>
    </xf>
    <xf numFmtId="0" fontId="10" fillId="2" borderId="22" applyAlignment="1" pivotButton="0" quotePrefix="0" xfId="0">
      <alignment horizontal="center" vertical="center" wrapText="1"/>
    </xf>
    <xf numFmtId="0" fontId="10" fillId="7" borderId="2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7" fillId="10" borderId="21" applyAlignment="1" pivotButton="0" quotePrefix="0" xfId="0">
      <alignment horizontal="center" vertical="center"/>
    </xf>
    <xf numFmtId="0" fontId="18" fillId="11" borderId="21" applyAlignment="1" pivotButton="0" quotePrefix="0" xfId="0">
      <alignment vertical="center" wrapText="1"/>
    </xf>
    <xf numFmtId="0" fontId="20" fillId="13" borderId="21" applyAlignment="1" pivotButton="0" quotePrefix="0" xfId="0">
      <alignment horizontal="center" vertical="center" wrapText="1"/>
    </xf>
    <xf numFmtId="0" fontId="17" fillId="4" borderId="21" applyAlignment="1" pivotButton="0" quotePrefix="0" xfId="0">
      <alignment horizontal="center" vertical="center"/>
    </xf>
    <xf numFmtId="0" fontId="23" fillId="11" borderId="21" applyAlignment="1" pivotButton="0" quotePrefix="0" xfId="0">
      <alignment horizontal="center" vertical="center"/>
    </xf>
    <xf numFmtId="0" fontId="17" fillId="4" borderId="21" applyAlignment="1" pivotButton="0" quotePrefix="0" xfId="0">
      <alignment vertical="top" wrapText="1"/>
    </xf>
    <xf numFmtId="0" fontId="24" fillId="16" borderId="21" applyAlignment="1" pivotButton="0" quotePrefix="0" xfId="0">
      <alignment vertical="top" wrapText="1"/>
    </xf>
    <xf numFmtId="0" fontId="18" fillId="14" borderId="21" applyAlignment="1" pivotButton="0" quotePrefix="0" xfId="0">
      <alignment vertical="top" wrapText="1"/>
    </xf>
    <xf numFmtId="0" fontId="22" fillId="15" borderId="17" applyAlignment="1" pivotButton="0" quotePrefix="0" xfId="0">
      <alignment horizontal="center" vertical="center" wrapText="1"/>
    </xf>
    <xf numFmtId="0" fontId="19" fillId="12" borderId="16" applyAlignment="1" pivotButton="0" quotePrefix="0" xfId="0">
      <alignment horizontal="center" vertical="center" wrapText="1"/>
    </xf>
    <xf numFmtId="0" fontId="25" fillId="18" borderId="18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8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9" fillId="4" borderId="21" applyAlignment="1" pivotButton="0" quotePrefix="0" xfId="0">
      <alignment horizontal="center" vertical="center" wrapText="1"/>
    </xf>
    <xf numFmtId="0" fontId="5" fillId="0" borderId="21" pivotButton="0" quotePrefix="0" xfId="0"/>
    <xf numFmtId="0" fontId="11" fillId="3" borderId="9" applyAlignment="1" pivotButton="0" quotePrefix="0" xfId="0">
      <alignment vertical="top" wrapText="1"/>
    </xf>
    <xf numFmtId="0" fontId="5" fillId="0" borderId="10" pivotButton="0" quotePrefix="0" xfId="0"/>
    <xf numFmtId="0" fontId="5" fillId="0" borderId="12" pivotButton="0" quotePrefix="0" xfId="0"/>
    <xf numFmtId="0" fontId="7" fillId="3" borderId="21" applyAlignment="1" pivotButton="0" quotePrefix="0" xfId="0">
      <alignment vertical="top" wrapText="1"/>
    </xf>
    <xf numFmtId="0" fontId="10" fillId="2" borderId="19" applyAlignment="1" pivotButton="0" quotePrefix="0" xfId="0">
      <alignment horizontal="center" vertical="center" wrapText="1"/>
    </xf>
    <xf numFmtId="0" fontId="5" fillId="0" borderId="20" pivotButton="0" quotePrefix="0" xfId="0"/>
    <xf numFmtId="0" fontId="12" fillId="3" borderId="21" applyAlignment="1" pivotButton="0" quotePrefix="0" xfId="0">
      <alignment horizontal="left" vertical="top" wrapText="1"/>
    </xf>
    <xf numFmtId="0" fontId="20" fillId="9" borderId="21" applyAlignment="1" pivotButton="0" quotePrefix="0" xfId="0">
      <alignment horizontal="center" vertical="center" wrapText="1"/>
    </xf>
    <xf numFmtId="0" fontId="13" fillId="9" borderId="13" applyAlignment="1" pivotButton="0" quotePrefix="0" xfId="0">
      <alignment vertical="center"/>
    </xf>
    <xf numFmtId="0" fontId="5" fillId="0" borderId="14" pivotButton="0" quotePrefix="0" xfId="0"/>
    <xf numFmtId="0" fontId="5" fillId="0" borderId="15" pivotButton="0" quotePrefix="0" xfId="0"/>
    <xf numFmtId="0" fontId="16" fillId="9" borderId="13" applyAlignment="1" pivotButton="0" quotePrefix="0" xfId="0">
      <alignment vertical="center" wrapText="1"/>
    </xf>
    <xf numFmtId="0" fontId="18" fillId="11" borderId="21" applyAlignment="1" pivotButton="0" quotePrefix="0" xfId="0">
      <alignment vertical="center" wrapText="1"/>
    </xf>
    <xf numFmtId="0" fontId="21" fillId="17" borderId="6" applyAlignment="1" pivotButton="0" quotePrefix="0" xfId="0">
      <alignment vertical="top" wrapText="1"/>
    </xf>
    <xf numFmtId="0" fontId="5" fillId="0" borderId="8" pivotButton="0" quotePrefix="0" xfId="0"/>
    <xf numFmtId="0" fontId="5" fillId="0" borderId="7" pivotButton="0" quotePrefix="0" xfId="0"/>
    <xf numFmtId="0" fontId="8" fillId="3" borderId="4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64" fontId="4" fillId="6" borderId="5" applyAlignment="1" pivotButton="0" quotePrefix="0" xfId="0">
      <alignment horizontal="center" vertical="top" wrapText="1"/>
    </xf>
    <xf numFmtId="0" fontId="0" fillId="0" borderId="20" pivotButton="0" quotePrefix="0" xfId="0"/>
    <xf numFmtId="0" fontId="11" fillId="3" borderId="27" applyAlignment="1" pivotButton="0" quotePrefix="0" xfId="0">
      <alignment vertical="top" wrapText="1"/>
    </xf>
    <xf numFmtId="0" fontId="0" fillId="0" borderId="10" pivotButton="0" quotePrefix="0" xfId="0"/>
    <xf numFmtId="0" fontId="0" fillId="0" borderId="12" pivotButton="0" quotePrefix="0" xfId="0"/>
    <xf numFmtId="0" fontId="13" fillId="9" borderId="35" applyAlignment="1" pivotButton="0" quotePrefix="0" xfId="0">
      <alignment vertical="center"/>
    </xf>
    <xf numFmtId="0" fontId="0" fillId="0" borderId="14" pivotButton="0" quotePrefix="0" xfId="0"/>
    <xf numFmtId="0" fontId="0" fillId="0" borderId="15" pivotButton="0" quotePrefix="0" xfId="0"/>
    <xf numFmtId="0" fontId="16" fillId="9" borderId="35" applyAlignment="1" pivotButton="0" quotePrefix="0" xfId="0">
      <alignment vertical="center" wrapText="1"/>
    </xf>
    <xf numFmtId="0" fontId="0" fillId="0" borderId="31" pivotButton="0" quotePrefix="0" xfId="0"/>
    <xf numFmtId="0" fontId="0" fillId="0" borderId="32" pivotButton="0" quotePrefix="0" xfId="0"/>
    <xf numFmtId="0" fontId="21" fillId="17" borderId="5" applyAlignment="1" pivotButton="0" quotePrefix="0" xfId="0">
      <alignment vertical="top" wrapText="1"/>
    </xf>
    <xf numFmtId="0" fontId="0" fillId="0" borderId="8" pivotButton="0" quotePrefix="0" xfId="0"/>
    <xf numFmtId="0" fontId="0" fillId="0" borderId="7" pivotButton="0" quotePrefix="0" xfId="0"/>
  </cellXfs>
  <cellStyles count="1">
    <cellStyle name="標準" xfId="0" builtinId="0"/>
  </cellStyles>
  <dxfs count="13"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0039B8"/>
      </font>
      <fill>
        <patternFill patternType="solid">
          <fgColor rgb="FFD9F5FF"/>
          <bgColor rgb="FFD9F5FF"/>
        </patternFill>
      </fill>
    </dxf>
    <dxf>
      <font>
        <b val="1"/>
        <color rgb="FFFFFFFF"/>
      </font>
      <fill>
        <patternFill patternType="solid">
          <fgColor rgb="FF00AEEF"/>
          <bgColor rgb="FF00AEEF"/>
        </patternFill>
      </fill>
    </dxf>
    <dxf>
      <font>
        <b val="1"/>
        <color rgb="FFFFFFFF"/>
      </font>
      <fill>
        <patternFill patternType="solid">
          <fgColor rgb="FF0039B8"/>
          <bgColor rgb="FF0039B8"/>
        </patternFill>
      </fill>
    </dxf>
    <dxf>
      <font>
        <b val="1"/>
        <color rgb="FFFFFFFF"/>
      </font>
      <fill>
        <patternFill patternType="solid">
          <fgColor rgb="FF0052FF"/>
          <bgColor rgb="FF0052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D18" sqref="D18"/>
    </sheetView>
  </sheetViews>
  <sheetFormatPr baseColWidth="8" defaultColWidth="14.44140625" defaultRowHeight="15" customHeight="1"/>
  <cols>
    <col width="6.5546875" customWidth="1" min="1" max="1"/>
    <col width="15.6640625" customWidth="1" min="2" max="2"/>
    <col width="23.6640625" customWidth="1" min="3" max="3"/>
    <col width="39.6640625" customWidth="1" min="4" max="4"/>
    <col width="14.5546875" customWidth="1" min="5" max="5"/>
    <col width="16.88671875" customWidth="1" min="6" max="7"/>
    <col width="39.6640625" customWidth="1" min="8" max="8"/>
    <col width="16.88671875" customWidth="1" min="9" max="9"/>
    <col width="14.5546875" customWidth="1" min="10" max="10"/>
    <col width="28.33203125" customWidth="1" min="11" max="11"/>
  </cols>
  <sheetData>
    <row r="1" ht="27.75" customHeight="1">
      <c r="A1" s="61" t="inlineStr">
        <is>
          <t>Chapter 01｜AIエージェントに任せたい仕事を考える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AIエージェントの特徴を踏まえ、自分の現場で任せたい仕事・困りごと・期待する変化を広く出します。</t>
        </is>
      </c>
    </row>
    <row r="3" ht="17.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7.4" customHeight="1">
      <c r="A4" s="43" t="inlineStr">
        <is>
          <t>Ch01 任せたい仕事メモ</t>
        </is>
      </c>
      <c r="B4" s="63" t="n"/>
      <c r="C4" s="64" t="n"/>
      <c r="D4" s="43" t="inlineStr">
        <is>
          <t>まずは思いつく仕事を広く出し、次章で業務として分解する候補を見つけましょう。</t>
        </is>
      </c>
      <c r="E4" s="63" t="n"/>
      <c r="F4" s="63" t="n"/>
      <c r="G4" s="63" t="n"/>
      <c r="H4" s="63" t="n"/>
      <c r="I4" s="63" t="n"/>
      <c r="J4" s="63" t="n"/>
      <c r="K4" s="64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52.2" customHeight="1">
      <c r="A6" s="5" t="inlineStr">
        <is>
          <t>No.</t>
        </is>
      </c>
      <c r="B6" s="5" t="inlineStr">
        <is>
          <t>部門</t>
        </is>
      </c>
      <c r="C6" s="5" t="inlineStr">
        <is>
          <t>業務名
（大まかな業務でOK）</t>
        </is>
      </c>
      <c r="D6" s="5" t="inlineStr">
        <is>
          <t>困りごと・課題
（現状の問題点を具体的に）</t>
        </is>
      </c>
      <c r="E6" s="5" t="inlineStr">
        <is>
          <t>対象頻度</t>
        </is>
      </c>
      <c r="F6" s="5" t="inlineStr">
        <is>
          <t>1回あたりの
工数（分）</t>
        </is>
      </c>
      <c r="G6" s="5" t="inlineStr">
        <is>
          <t>月間工数
（時間）
自動計算</t>
        </is>
      </c>
      <c r="H6" s="5" t="inlineStr">
        <is>
          <t>期待効果
（改善の期待・インパクト）</t>
        </is>
      </c>
      <c r="I6" s="5" t="inlineStr">
        <is>
          <t>期待効果
（時間/月）</t>
        </is>
      </c>
      <c r="J6" s="5" t="inlineStr">
        <is>
          <t>優先度
（高い順）</t>
        </is>
      </c>
      <c r="K6" s="5" t="inlineStr">
        <is>
          <t>メモ</t>
        </is>
      </c>
    </row>
    <row r="7" ht="17.4" customHeight="1">
      <c r="A7" s="6" t="n">
        <v>1</v>
      </c>
      <c r="B7" s="6" t="inlineStr">
        <is>
          <t>営業部</t>
        </is>
      </c>
      <c r="C7" s="7" t="inlineStr">
        <is>
          <t>注文引受票（注文請書）の作成・発行</t>
        </is>
      </c>
      <c r="D7" s="7" t="inlineStr">
        <is>
          <t>受注データを販売管理システムへ手作業で転記して作成
・価格・納期・仕様の転記ミスが発生する
・月末月初に業務が集中し残業が発生する</t>
        </is>
      </c>
      <c r="E7" s="6" t="inlineStr">
        <is>
          <t>月200回</t>
        </is>
      </c>
      <c r="F7" s="65" t="n">
        <v>12</v>
      </c>
      <c r="G7" s="66">
        <f>IF(OR(E7="",F7=""),"",ROUND(IF(ISNUMBER(E7),E7,IF(ISNUMBER(SEARCH("毎日",E7)),20,IF(ISNUMBER(SEARCH("週",E7)),VALUE(MID(E7,FIND("週",E7)+1,FIND("回",E7)-FIND("週",E7)-1))*4,IF(ISNUMBER(SEARCH("月",E7)),VALUE(MID(E7,FIND("月",E7)+1,FIND("回",E7)-FIND("月",E7)-1)),1))))*F7/60,1))</f>
        <v/>
      </c>
      <c r="H7" s="67" t="inlineStr">
        <is>
          <t>作成時間の短縮
・転記ミスの削減
・月末残業の削減</t>
        </is>
      </c>
      <c r="I7" s="65">
        <f>IF(G7="","",ROUND(G7*0.6,1))</f>
        <v/>
      </c>
      <c r="J7" s="13" t="n">
        <v>1</v>
      </c>
      <c r="K7" s="7" t="inlineStr">
        <is>
          <t>最初にAIエージェント化する本命業務</t>
        </is>
      </c>
    </row>
    <row r="8" ht="17.4" customHeight="1">
      <c r="A8" s="6" t="n">
        <v>2</v>
      </c>
      <c r="B8" s="6" t="inlineStr">
        <is>
          <t>営業部</t>
        </is>
      </c>
      <c r="C8" s="7" t="inlineStr">
        <is>
          <t>受注内容（仕様・数量・単価）の確認</t>
        </is>
      </c>
      <c r="D8" s="7" t="inlineStr">
        <is>
          <t>見積書・注文書・仕様書の突合が手作業
・確認観点が担当者によりバラつく</t>
        </is>
      </c>
      <c r="E8" s="6" t="inlineStr">
        <is>
          <t>月200回</t>
        </is>
      </c>
      <c r="F8" s="65" t="n">
        <v>8</v>
      </c>
      <c r="G8" s="66">
        <f>IF(OR(E8="",F8=""),"",ROUND(IF(ISNUMBER(E8),E8,IF(ISNUMBER(SEARCH("毎日",E8)),20,IF(ISNUMBER(SEARCH("週",E8)),VALUE(MID(E8,FIND("週",E8)+1,FIND("回",E8)-FIND("週",E8)-1))*4,IF(ISNUMBER(SEARCH("月",E8)),VALUE(MID(E8,FIND("月",E8)+1,FIND("回",E8)-FIND("月",E8)-1)),1))))*F8/60,1))</f>
        <v/>
      </c>
      <c r="H8" s="67" t="inlineStr">
        <is>
          <t>突合の自動化
・確認観点の標準化</t>
        </is>
      </c>
      <c r="I8" s="65">
        <f>IF(G8="","",ROUND(G8*0.6,1))</f>
        <v/>
      </c>
      <c r="J8" s="13" t="n">
        <v>2</v>
      </c>
      <c r="K8" s="7" t="inlineStr">
        <is>
          <t>AIの事前チェックで人は最終承認に集中</t>
        </is>
      </c>
    </row>
    <row r="9" ht="17.4" customHeight="1">
      <c r="A9" s="6" t="n">
        <v>3</v>
      </c>
      <c r="B9" s="6" t="inlineStr">
        <is>
          <t>生産管理部</t>
        </is>
      </c>
      <c r="C9" s="7" t="inlineStr">
        <is>
          <t>生産キャパシティとの突合・納期回答</t>
        </is>
      </c>
      <c r="D9" s="7" t="inlineStr">
        <is>
          <t>生産計画との突合に時間がかかる
・繁忙期に納期回答が遅延する</t>
        </is>
      </c>
      <c r="E9" s="6" t="inlineStr">
        <is>
          <t>月200回</t>
        </is>
      </c>
      <c r="F9" s="65" t="n">
        <v>10</v>
      </c>
      <c r="G9" s="66">
        <f>IF(OR(E9="",F9=""),"",ROUND(IF(ISNUMBER(E9),E9,IF(ISNUMBER(SEARCH("毎日",E9)),20,IF(ISNUMBER(SEARCH("週",E9)),VALUE(MID(E9,FIND("週",E9)+1,FIND("回",E9)-FIND("週",E9)-1))*4,IF(ISNUMBER(SEARCH("月",E9)),VALUE(MID(E9,FIND("月",E9)+1,FIND("回",E9)-FIND("月",E9)-1)),1))))*F9/60,1))</f>
        <v/>
      </c>
      <c r="H9" s="67" t="inlineStr">
        <is>
          <t>突合の自動化
・納期回答の迅速化</t>
        </is>
      </c>
      <c r="I9" s="65">
        <f>IF(G9="","",ROUND(G9*0.6,1))</f>
        <v/>
      </c>
      <c r="J9" s="13" t="n">
        <v>3</v>
      </c>
      <c r="K9" s="7" t="inlineStr">
        <is>
          <t>生産管理システムとの連携が前提</t>
        </is>
      </c>
    </row>
    <row r="10" ht="17.4" customHeight="1">
      <c r="A10" s="6" t="n">
        <v>4</v>
      </c>
      <c r="B10" s="6" t="inlineStr">
        <is>
          <t>営業部</t>
        </is>
      </c>
      <c r="C10" s="7" t="inlineStr">
        <is>
          <t>注文引受票の送付・受領確認</t>
        </is>
      </c>
      <c r="D10" s="7" t="inlineStr">
        <is>
          <t>宛先間違いのリスクがある
・送付記録が残らず受領確認漏れが発生する</t>
        </is>
      </c>
      <c r="E10" s="6" t="inlineStr">
        <is>
          <t>月200回</t>
        </is>
      </c>
      <c r="F10" s="65" t="n">
        <v>5</v>
      </c>
      <c r="G10" s="66">
        <f>IF(OR(E10="",F10=""),"",ROUND(IF(ISNUMBER(E10),E10,IF(ISNUMBER(SEARCH("毎日",E10)),20,IF(ISNUMBER(SEARCH("週",E10)),VALUE(MID(E10,FIND("週",E10)+1,FIND("回",E10)-FIND("週",E10)-1))*4,IF(ISNUMBER(SEARCH("月",E10)),VALUE(MID(E10,FIND("月",E10)+1,FIND("回",E10)-FIND("月",E10)-1)),1))))*F10/60,1))</f>
        <v/>
      </c>
      <c r="H10" s="67" t="inlineStr">
        <is>
          <t>送付ミスの防止
・送付・受領履歴の自動記録</t>
        </is>
      </c>
      <c r="I10" s="68">
        <f>IF(G10="","",ROUND(G10*0.6,1))</f>
        <v/>
      </c>
      <c r="J10" s="13" t="n">
        <v>4</v>
      </c>
      <c r="K10" s="7" t="inlineStr">
        <is>
          <t>自動送付はせず、送付前に必ず人が承認</t>
        </is>
      </c>
    </row>
    <row r="11" ht="17.4" customHeight="1">
      <c r="A11" s="6" t="n">
        <v>5</v>
      </c>
      <c r="B11" s="6" t="inlineStr">
        <is>
          <t>営業部</t>
        </is>
      </c>
      <c r="C11" s="7" t="inlineStr">
        <is>
          <t>受注内容の変更・訂正対応</t>
        </is>
      </c>
      <c r="D11" s="7" t="inlineStr">
        <is>
          <t>変更理由の記録が残らない
・訂正版の版数管理が煩雑</t>
        </is>
      </c>
      <c r="E11" s="6" t="inlineStr">
        <is>
          <t>月30回</t>
        </is>
      </c>
      <c r="F11" s="65" t="n">
        <v>15</v>
      </c>
      <c r="G11" s="66">
        <f>IF(OR(E11="",F11=""),"",ROUND(IF(ISNUMBER(E11),E11,IF(ISNUMBER(SEARCH("毎日",E11)),20,IF(ISNUMBER(SEARCH("週",E11)),VALUE(MID(E11,FIND("週",E11)+1,FIND("回",E11)-FIND("週",E11)-1))*4,IF(ISNUMBER(SEARCH("月",E11)),VALUE(MID(E11,FIND("月",E11)+1,FIND("回",E11)-FIND("月",E11)-1)),1))))*F11/60,1))</f>
        <v/>
      </c>
      <c r="H11" s="67" t="inlineStr">
        <is>
          <t>変更履歴の自動記録
・版数管理の自動化</t>
        </is>
      </c>
      <c r="I11" s="68">
        <f>IF(G11="","",ROUND(G11*0.6,1))</f>
        <v/>
      </c>
      <c r="J11" s="13" t="n">
        <v>5</v>
      </c>
      <c r="K11" s="7" t="inlineStr">
        <is>
          <t>注文引受票エージェント定着後の次フェーズ候補</t>
        </is>
      </c>
    </row>
    <row r="12" ht="17.4" customHeight="1">
      <c r="A12" s="6" t="n">
        <v>6</v>
      </c>
      <c r="B12" s="6" t="inlineStr">
        <is>
          <t>経理部</t>
        </is>
      </c>
      <c r="C12" s="7" t="inlineStr">
        <is>
          <t>与信・掛率の確認</t>
        </is>
      </c>
      <c r="D12" s="7" t="inlineStr">
        <is>
          <t>与信限度額との照合が手作業
・掛率誤りに気づかず発行してしまうことがある</t>
        </is>
      </c>
      <c r="E12" s="6" t="inlineStr">
        <is>
          <t>月200回</t>
        </is>
      </c>
      <c r="F12" s="65" t="n">
        <v>6</v>
      </c>
      <c r="G12" s="66">
        <f>IF(OR(E12="",F12=""),"",ROUND(IF(ISNUMBER(E12),E12,IF(ISNUMBER(SEARCH("毎日",E12)),20,IF(ISNUMBER(SEARCH("週",E12)),VALUE(MID(E12,FIND("週",E12)+1,FIND("回",E12)-FIND("週",E12)-1))*4,IF(ISNUMBER(SEARCH("月",E12)),VALUE(MID(E12,FIND("月",E12)+1,FIND("回",E12)-FIND("月",E12)-1)),1))))*F12/60,1))</f>
        <v/>
      </c>
      <c r="H12" s="67" t="inlineStr">
        <is>
          <t>照合の自動化
・掛率誤りの防止</t>
        </is>
      </c>
      <c r="I12" s="68">
        <f>IF(G12="","",ROUND(G12*0.6,1))</f>
        <v/>
      </c>
      <c r="J12" s="13" t="n">
        <v>6</v>
      </c>
      <c r="K12" s="7" t="inlineStr">
        <is>
          <t>与信管理システムとの連携で自動化余地あり</t>
        </is>
      </c>
    </row>
    <row r="13" ht="17.4" customHeight="1">
      <c r="A13" s="6" t="n">
        <v>7</v>
      </c>
      <c r="B13" s="6" t="n"/>
      <c r="C13" s="7" t="n"/>
      <c r="D13" s="7" t="n"/>
      <c r="E13" s="6" t="n"/>
      <c r="F13" s="65" t="n"/>
      <c r="G13" s="66">
        <f>IF(OR(E13="",F13=""),"",ROUND(IF(ISNUMBER(E13),E13,IF(ISNUMBER(SEARCH("毎日",E13)),20,IF(ISNUMBER(SEARCH("週",E13)),VALUE(MID(E13,FIND("週",E13)+1,FIND("回",E13)-FIND("週",E13)-1))*4,IF(ISNUMBER(SEARCH("月",E13)),VALUE(MID(E13,FIND("月",E13)+1,FIND("回",E13)-FIND("月",E13)-1)),1))))*F13/60,1))</f>
        <v/>
      </c>
      <c r="H13" s="67" t="n"/>
      <c r="I13" s="68">
        <f>IF(G13="","",ROUND(G13*0.6,1))</f>
        <v/>
      </c>
      <c r="J13" s="13" t="n"/>
      <c r="K13" s="7" t="n"/>
    </row>
    <row r="14" ht="17.4" customHeight="1">
      <c r="A14" s="6" t="n">
        <v>8</v>
      </c>
      <c r="B14" s="6" t="n"/>
      <c r="C14" s="7" t="n"/>
      <c r="D14" s="7" t="n"/>
      <c r="E14" s="6" t="n"/>
      <c r="F14" s="65" t="n"/>
      <c r="G14" s="66">
        <f>IF(OR(E14="",F14=""),"",ROUND(IF(ISNUMBER(E14),E14,IF(ISNUMBER(SEARCH("毎日",E14)),20,IF(ISNUMBER(SEARCH("週",E14)),VALUE(MID(E14,FIND("週",E14)+1,FIND("回",E14)-FIND("週",E14)-1))*4,IF(ISNUMBER(SEARCH("月",E14)),VALUE(MID(E14,FIND("月",E14)+1,FIND("回",E14)-FIND("月",E14)-1)),1))))*F14/60,1))</f>
        <v/>
      </c>
      <c r="H14" s="67" t="n"/>
      <c r="I14" s="68">
        <f>IF(G14="","",ROUND(G14*0.6,1))</f>
        <v/>
      </c>
      <c r="J14" s="13" t="n"/>
      <c r="K14" s="7" t="n"/>
    </row>
    <row r="15" ht="17.4" customHeight="1">
      <c r="A15" s="6" t="n">
        <v>9</v>
      </c>
      <c r="B15" s="6" t="n"/>
      <c r="C15" s="7" t="n"/>
      <c r="D15" s="7" t="n"/>
      <c r="E15" s="6" t="n"/>
      <c r="F15" s="65" t="n"/>
      <c r="G15" s="66">
        <f>IF(OR(E15="",F15=""),"",ROUND(IF(ISNUMBER(E15),E15,IF(ISNUMBER(SEARCH("毎日",E15)),20,IF(ISNUMBER(SEARCH("週",E15)),VALUE(MID(E15,FIND("週",E15)+1,FIND("回",E15)-FIND("週",E15)-1))*4,IF(ISNUMBER(SEARCH("月",E15)),VALUE(MID(E15,FIND("月",E15)+1,FIND("回",E15)-FIND("月",E15)-1)),1))))*F15/60,1))</f>
        <v/>
      </c>
      <c r="H15" s="67" t="n"/>
      <c r="I15" s="68">
        <f>IF(G15="","",ROUND(G15*0.6,1))</f>
        <v/>
      </c>
      <c r="J15" s="13" t="n"/>
      <c r="K15" s="7" t="n"/>
    </row>
    <row r="16" ht="17.4" customHeight="1">
      <c r="A16" s="6" t="n">
        <v>10</v>
      </c>
      <c r="B16" s="6" t="n"/>
      <c r="C16" s="7" t="n"/>
      <c r="D16" s="7" t="n"/>
      <c r="E16" s="6" t="n"/>
      <c r="F16" s="65" t="n"/>
      <c r="G16" s="66">
        <f>IF(OR(E16="",F16=""),"",ROUND(IF(ISNUMBER(E16),E16,IF(ISNUMBER(SEARCH("毎日",E16)),20,IF(ISNUMBER(SEARCH("週",E16)),VALUE(MID(E16,FIND("週",E16)+1,FIND("回",E16)-FIND("週",E16)-1))*4,IF(ISNUMBER(SEARCH("月",E16)),VALUE(MID(E16,FIND("月",E16)+1,FIND("回",E16)-FIND("月",E16)-1)),1))))*F16/60,1))</f>
        <v/>
      </c>
      <c r="H16" s="67" t="n"/>
      <c r="I16" s="68">
        <f>IF(G16="","",ROUND(G16*0.6,1))</f>
        <v/>
      </c>
      <c r="J16" s="13" t="n"/>
      <c r="K16" s="7" t="n"/>
    </row>
    <row r="17" ht="17.4" customHeight="1">
      <c r="A17" s="6" t="n">
        <v>11</v>
      </c>
      <c r="B17" s="6" t="n"/>
      <c r="C17" s="7" t="n"/>
      <c r="D17" s="7" t="n"/>
      <c r="E17" s="6" t="n"/>
      <c r="F17" s="65" t="n"/>
      <c r="G17" s="66">
        <f>IF(OR(E17="",F17=""),"",ROUND(IF(ISNUMBER(E17),E17,IF(ISNUMBER(SEARCH("毎日",E17)),20,IF(ISNUMBER(SEARCH("週",E17)),VALUE(MID(E17,FIND("週",E17)+1,FIND("回",E17)-FIND("週",E17)-1))*4,IF(ISNUMBER(SEARCH("月",E17)),VALUE(MID(E17,FIND("月",E17)+1,FIND("回",E17)-FIND("月",E17)-1)),1))))*F17/60,1))</f>
        <v/>
      </c>
      <c r="H17" s="67" t="n"/>
      <c r="I17" s="68">
        <f>IF(G17="","",ROUND(G17*0.6,1))</f>
        <v/>
      </c>
      <c r="J17" s="13" t="n"/>
      <c r="K17" s="7" t="n"/>
    </row>
    <row r="18" ht="17.4" customHeight="1">
      <c r="A18" s="6" t="n">
        <v>12</v>
      </c>
      <c r="B18" s="6" t="n"/>
      <c r="C18" s="7" t="n"/>
      <c r="D18" s="7" t="n"/>
      <c r="E18" s="6" t="n"/>
      <c r="F18" s="65" t="n"/>
      <c r="G18" s="66">
        <f>IF(OR(E18="",F18=""),"",ROUND(IF(ISNUMBER(E18),E18,IF(ISNUMBER(SEARCH("毎日",E18)),20,IF(ISNUMBER(SEARCH("週",E18)),VALUE(MID(E18,FIND("週",E18)+1,FIND("回",E18)-FIND("週",E18)-1))*4,IF(ISNUMBER(SEARCH("月",E18)),VALUE(MID(E18,FIND("月",E18)+1,FIND("回",E18)-FIND("月",E18)-1)),1))))*F18/60,1))</f>
        <v/>
      </c>
      <c r="H18" s="67" t="n"/>
      <c r="I18" s="68">
        <f>IF(G18="","",ROUND(G18*0.6,1))</f>
        <v/>
      </c>
      <c r="J18" s="13" t="n"/>
      <c r="K18" s="7" t="n"/>
    </row>
    <row r="19" ht="17.4" customHeight="1">
      <c r="A19" s="6" t="n">
        <v>13</v>
      </c>
      <c r="B19" s="6" t="n"/>
      <c r="C19" s="7" t="n"/>
      <c r="D19" s="7" t="n"/>
      <c r="E19" s="6" t="n"/>
      <c r="F19" s="65" t="n"/>
      <c r="G19" s="66">
        <f>IF(OR(E19="",F19=""),"",ROUND(IF(ISNUMBER(E19),E19,IF(ISNUMBER(SEARCH("毎日",E19)),20,IF(ISNUMBER(SEARCH("週",E19)),VALUE(MID(E19,FIND("週",E19)+1,FIND("回",E19)-FIND("週",E19)-1))*4,IF(ISNUMBER(SEARCH("月",E19)),VALUE(MID(E19,FIND("月",E19)+1,FIND("回",E19)-FIND("月",E19)-1)),1))))*F19/60,1))</f>
        <v/>
      </c>
      <c r="H19" s="67" t="n"/>
      <c r="I19" s="68">
        <f>IF(G19="","",ROUND(G19*0.6,1))</f>
        <v/>
      </c>
      <c r="J19" s="13" t="n"/>
      <c r="K19" s="7" t="n"/>
    </row>
    <row r="20" ht="17.4" customHeight="1">
      <c r="A20" s="6" t="n">
        <v>14</v>
      </c>
      <c r="B20" s="6" t="n"/>
      <c r="C20" s="7" t="n"/>
      <c r="D20" s="7" t="n"/>
      <c r="E20" s="6" t="n"/>
      <c r="F20" s="65" t="n"/>
      <c r="G20" s="66">
        <f>IF(OR(E20="",F20=""),"",ROUND(IF(ISNUMBER(E20),E20,IF(ISNUMBER(SEARCH("毎日",E20)),20,IF(ISNUMBER(SEARCH("週",E20)),VALUE(MID(E20,FIND("週",E20)+1,FIND("回",E20)-FIND("週",E20)-1))*4,IF(ISNUMBER(SEARCH("月",E20)),VALUE(MID(E20,FIND("月",E20)+1,FIND("回",E20)-FIND("月",E20)-1)),1))))*F20/60,1))</f>
        <v/>
      </c>
      <c r="H20" s="67" t="n"/>
      <c r="I20" s="68">
        <f>IF(G20="","",ROUND(G20*0.6,1))</f>
        <v/>
      </c>
      <c r="J20" s="13" t="n"/>
      <c r="K20" s="7" t="n"/>
    </row>
    <row r="21" ht="15.75" customHeight="1">
      <c r="A21" s="6" t="n">
        <v>15</v>
      </c>
      <c r="B21" s="6" t="n"/>
      <c r="C21" s="7" t="n"/>
      <c r="D21" s="7" t="n"/>
      <c r="E21" s="6" t="n"/>
      <c r="F21" s="65" t="n"/>
      <c r="G21" s="66">
        <f>IF(OR(E21="",F21=""),"",ROUND(IF(ISNUMBER(E21),E21,IF(ISNUMBER(SEARCH("毎日",E21)),20,IF(ISNUMBER(SEARCH("週",E21)),VALUE(MID(E21,FIND("週",E21)+1,FIND("回",E21)-FIND("週",E21)-1))*4,IF(ISNUMBER(SEARCH("月",E21)),VALUE(MID(E21,FIND("月",E21)+1,FIND("回",E21)-FIND("月",E21)-1)),1))))*F21/60,1))</f>
        <v/>
      </c>
      <c r="H21" s="67" t="n"/>
      <c r="I21" s="68">
        <f>IF(G21="","",ROUND(G21*0.6,1))</f>
        <v/>
      </c>
      <c r="J21" s="13" t="n"/>
      <c r="K21" s="7" t="n"/>
    </row>
    <row r="22" ht="15.75" customHeight="1">
      <c r="A22" s="6" t="n">
        <v>16</v>
      </c>
      <c r="B22" s="6" t="n"/>
      <c r="C22" s="7" t="n"/>
      <c r="D22" s="7" t="n"/>
      <c r="E22" s="6" t="n"/>
      <c r="F22" s="65" t="n"/>
      <c r="G22" s="66">
        <f>IF(OR(E22="",F22=""),"",ROUND(IF(ISNUMBER(E22),E22,IF(ISNUMBER(SEARCH("毎日",E22)),20,IF(ISNUMBER(SEARCH("週",E22)),VALUE(MID(E22,FIND("週",E22)+1,FIND("回",E22)-FIND("週",E22)-1))*4,IF(ISNUMBER(SEARCH("月",E22)),VALUE(MID(E22,FIND("月",E22)+1,FIND("回",E22)-FIND("月",E22)-1)),1))))*F22/60,1))</f>
        <v/>
      </c>
      <c r="H22" s="67" t="n"/>
      <c r="I22" s="68">
        <f>IF(G22="","",ROUND(G22*0.6,1))</f>
        <v/>
      </c>
      <c r="J22" s="13" t="n"/>
      <c r="K22" s="7" t="n"/>
    </row>
    <row r="23" ht="15.7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15" t="n"/>
      <c r="J23" s="15" t="n"/>
      <c r="K23" s="9" t="n"/>
    </row>
    <row r="24" ht="15.7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15.7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K2"/>
    <mergeCell ref="A4:C4"/>
    <mergeCell ref="A1:K1"/>
    <mergeCell ref="D4:K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showGridLines="0" zoomScale="130" zoomScaleNormal="130" workbookViewId="0">
      <selection activeCell="A16" sqref="A16:F16"/>
    </sheetView>
  </sheetViews>
  <sheetFormatPr baseColWidth="8" defaultColWidth="14.44140625" defaultRowHeight="15" customHeight="1"/>
  <cols>
    <col width="21.44140625" customWidth="1" min="1" max="1"/>
    <col width="28.33203125" customWidth="1" min="2" max="3"/>
    <col width="32.88671875" customWidth="1" min="4" max="4"/>
    <col width="28.33203125" customWidth="1" min="5" max="6"/>
  </cols>
  <sheetData>
    <row r="1" ht="27.75" customHeight="1">
      <c r="A1" s="61" t="inlineStr">
        <is>
          <t>Chapter 02｜SIPOC・As-Isで業務を見る</t>
        </is>
      </c>
      <c r="G1" s="8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7.4" customHeight="1">
      <c r="A2" s="62" t="inlineStr">
        <is>
          <t>対象業務の入口・出口・関係者・現状の流れを整理し、AIエージェント導入前に業務の全体像をつかみます。</t>
        </is>
      </c>
      <c r="G2" s="3" t="n"/>
    </row>
    <row r="3" ht="17.4" customHeight="1">
      <c r="A3" s="48" t="inlineStr">
        <is>
          <t>※ SIPOC：供給元・入力・プロセス・出力・顧客を整理する枠組み。As-Is：現状の業務フローのこと。</t>
        </is>
      </c>
      <c r="B3" s="63" t="n"/>
      <c r="C3" s="63" t="n"/>
      <c r="D3" s="63" t="n"/>
      <c r="E3" s="63" t="n"/>
      <c r="F3" s="64" t="n"/>
      <c r="G3" s="3" t="n"/>
    </row>
    <row r="4" ht="17.4" customHeight="1">
      <c r="A4" s="23" t="inlineStr">
        <is>
          <t>対象業務</t>
        </is>
      </c>
      <c r="B4" s="69" t="n"/>
      <c r="C4" s="23" t="inlineStr">
        <is>
          <t>精密機器の注文引受票（注文請書）発行業務</t>
        </is>
      </c>
      <c r="D4" s="69" t="n"/>
      <c r="E4" s="23" t="inlineStr">
        <is>
          <t>作成日</t>
        </is>
      </c>
      <c r="F4" s="24" t="inlineStr">
        <is>
          <t>作成者</t>
        </is>
      </c>
      <c r="G4" s="3" t="n"/>
    </row>
    <row r="5" ht="17.4" customHeight="1">
      <c r="A5" s="16" t="n"/>
      <c r="B5" s="16" t="n"/>
      <c r="C5" s="19" t="n"/>
      <c r="D5" s="19" t="n"/>
      <c r="E5" s="19" t="inlineStr">
        <is>
          <t>2026/07/10</t>
        </is>
      </c>
      <c r="F5" s="19" t="inlineStr">
        <is>
          <t>営業部 担当者</t>
        </is>
      </c>
      <c r="G5" s="3" t="n"/>
    </row>
    <row r="6" ht="17.4" customHeight="1">
      <c r="A6" s="9" t="n"/>
      <c r="B6" s="9" t="n"/>
      <c r="C6" s="9" t="n"/>
      <c r="D6" s="9" t="n"/>
      <c r="E6" s="9" t="n"/>
      <c r="F6" s="9" t="n"/>
      <c r="G6" s="3" t="n"/>
    </row>
    <row r="7" ht="17.4" customHeight="1">
      <c r="A7" s="43" t="inlineStr">
        <is>
          <t>SIPOC（全体像）</t>
        </is>
      </c>
      <c r="B7" s="63" t="n"/>
      <c r="C7" s="63" t="n"/>
      <c r="D7" s="63" t="n"/>
      <c r="E7" s="63" t="n"/>
      <c r="F7" s="64" t="n"/>
      <c r="G7" s="3" t="n"/>
    </row>
    <row r="8" ht="34.8" customHeight="1">
      <c r="A8" s="23" t="inlineStr">
        <is>
          <t>SIPOC</t>
        </is>
      </c>
      <c r="B8" s="23" t="inlineStr">
        <is>
          <t>Supplier（供給元）
誰から受け取るか</t>
        </is>
      </c>
      <c r="C8" s="23" t="inlineStr">
        <is>
          <t>Input（入力）
何を受け取るか</t>
        </is>
      </c>
      <c r="D8" s="23" t="inlineStr">
        <is>
          <t>Process（プロセス）
どんな流れか（大まかでOK）</t>
        </is>
      </c>
      <c r="E8" s="23" t="inlineStr">
        <is>
          <t>Output（出力）
何を出すか</t>
        </is>
      </c>
      <c r="F8" s="23" t="inlineStr">
        <is>
          <t>Customer（顧客）
誰に渡すか</t>
        </is>
      </c>
      <c r="G8" s="3" t="n"/>
    </row>
    <row r="9" ht="17.4" customHeight="1">
      <c r="A9" s="70" t="n"/>
      <c r="B9" s="19" t="inlineStr">
        <is>
          <t>顧客、生産管理部、経理部（与信情報）</t>
        </is>
      </c>
      <c r="C9" s="19" t="inlineStr">
        <is>
          <t>注文書、見積内容、仕様書、納期希望、顧客マスタ、与信情報</t>
        </is>
      </c>
      <c r="D9" s="19" t="inlineStr">
        <is>
          <t>受注受付 → 内容確認 → 与信・納期確認 → 注文引受票発行 → 送付 → 記録</t>
        </is>
      </c>
      <c r="E9" s="19" t="inlineStr">
        <is>
          <t>注文引受票（PDF）、受注一覧、送付・受領記録</t>
        </is>
      </c>
      <c r="F9" s="19" t="inlineStr">
        <is>
          <t>顧客（発注元）、生産管理部（生産計画立案）、経理部（請求・与信管理）</t>
        </is>
      </c>
      <c r="G9" s="3" t="n"/>
    </row>
    <row r="10" ht="17.4" customHeight="1">
      <c r="A10" s="71" t="n"/>
      <c r="B10" s="17" t="n"/>
      <c r="C10" s="17" t="n"/>
      <c r="D10" s="17" t="n"/>
      <c r="E10" s="17" t="n"/>
      <c r="F10" s="17" t="n"/>
      <c r="G10" s="3" t="n"/>
    </row>
    <row r="11" ht="17.4" customHeight="1">
      <c r="A11" s="71" t="n"/>
      <c r="B11" s="17" t="n"/>
      <c r="C11" s="17" t="n"/>
      <c r="D11" s="17" t="n"/>
      <c r="E11" s="17" t="n"/>
      <c r="F11" s="17" t="n"/>
      <c r="G11" s="3" t="n"/>
    </row>
    <row r="12" ht="17.4" customHeight="1">
      <c r="A12" s="71" t="n"/>
      <c r="B12" s="17" t="n"/>
      <c r="C12" s="17" t="n"/>
      <c r="D12" s="17" t="n"/>
      <c r="E12" s="17" t="n"/>
      <c r="F12" s="17" t="n"/>
      <c r="G12" s="3" t="n"/>
    </row>
    <row r="13" ht="17.4" customHeight="1">
      <c r="A13" s="72" t="n"/>
      <c r="B13" s="17" t="n"/>
      <c r="C13" s="17" t="n"/>
      <c r="D13" s="17" t="n"/>
      <c r="E13" s="17" t="n"/>
      <c r="F13" s="17" t="n"/>
      <c r="G13" s="3" t="n"/>
    </row>
    <row r="14" ht="17.4" customHeight="1">
      <c r="A14" s="9" t="n"/>
      <c r="B14" s="9" t="n"/>
      <c r="C14" s="9" t="n"/>
      <c r="D14" s="9" t="n"/>
      <c r="E14" s="9" t="n"/>
      <c r="F14" s="9" t="n"/>
      <c r="G14" s="3" t="n"/>
    </row>
    <row r="15" ht="17.4" customHeight="1">
      <c r="A15" s="9" t="n"/>
      <c r="B15" s="9" t="n"/>
      <c r="C15" s="9" t="n"/>
      <c r="D15" s="9" t="n"/>
      <c r="E15" s="9" t="n"/>
      <c r="F15" s="9" t="n"/>
      <c r="G15" s="3" t="n"/>
    </row>
    <row r="16" ht="17.4" customHeight="1">
      <c r="A16" s="43" t="inlineStr">
        <is>
          <t>As-Is業務フロー（現状の流れ）</t>
        </is>
      </c>
      <c r="B16" s="63" t="n"/>
      <c r="C16" s="63" t="n"/>
      <c r="D16" s="63" t="n"/>
      <c r="E16" s="63" t="n"/>
      <c r="F16" s="64" t="n"/>
      <c r="G16" s="3" t="n"/>
    </row>
    <row r="17" ht="17.4" customHeight="1">
      <c r="A17" s="23" t="inlineStr">
        <is>
          <t>As-Is業務フロー</t>
        </is>
      </c>
      <c r="B17" s="23" t="inlineStr">
        <is>
          <t>受付</t>
        </is>
      </c>
      <c r="C17" s="23" t="inlineStr">
        <is>
          <t>確認</t>
        </is>
      </c>
      <c r="D17" s="23" t="inlineStr">
        <is>
          <t>判断</t>
        </is>
      </c>
      <c r="E17" s="23" t="inlineStr">
        <is>
          <t>出力</t>
        </is>
      </c>
      <c r="F17" s="23" t="inlineStr">
        <is>
          <t>備考</t>
        </is>
      </c>
      <c r="G17" s="3" t="n"/>
    </row>
    <row r="18" ht="34.8" customHeight="1">
      <c r="A18" s="18" t="inlineStr">
        <is>
          <t>概要（何をしているか）</t>
        </is>
      </c>
      <c r="B18" s="19" t="inlineStr">
        <is>
          <t>顧客からの注文書を受け付け、販売管理システムへ入力する</t>
        </is>
      </c>
      <c r="C18" s="19" t="inlineStr">
        <is>
          <t>仕様・数量・単価・納期を見積書・仕様書と突き合わせて確認する</t>
        </is>
      </c>
      <c r="D18" s="19" t="inlineStr">
        <is>
          <t>生産キャパシティと与信限度額を確認し、発行してよいか判断する</t>
        </is>
      </c>
      <c r="E18" s="19" t="inlineStr">
        <is>
          <t>注文引受票を作成・発行し、メール／郵送で送付して記録する</t>
        </is>
      </c>
      <c r="F18" s="19" t="inlineStr">
        <is>
          <t>月200件を月内で都度処理、月末月初に件数が集中する</t>
        </is>
      </c>
      <c r="G18" s="3" t="n"/>
    </row>
    <row r="19" ht="34.8" customHeight="1">
      <c r="A19" s="18" t="inlineStr">
        <is>
          <t>担当者・部門（主担当）</t>
        </is>
      </c>
      <c r="B19" s="19" t="inlineStr">
        <is>
          <t>営業担当</t>
        </is>
      </c>
      <c r="C19" s="19" t="inlineStr">
        <is>
          <t>営業担当</t>
        </is>
      </c>
      <c r="D19" s="19" t="inlineStr">
        <is>
          <t>営業マネージャー</t>
        </is>
      </c>
      <c r="E19" s="19" t="inlineStr">
        <is>
          <t>営業担当</t>
        </is>
      </c>
      <c r="F19" s="19" t="n"/>
      <c r="G19" s="3" t="n"/>
    </row>
    <row r="20" ht="17.4" customHeight="1">
      <c r="A20" s="18" t="inlineStr">
        <is>
          <t>使用ツール・システム</t>
        </is>
      </c>
      <c r="B20" s="19" t="inlineStr">
        <is>
          <t>販売管理システム、Excel</t>
        </is>
      </c>
      <c r="C20" s="19" t="inlineStr">
        <is>
          <t>見積書、仕様書、Excel</t>
        </is>
      </c>
      <c r="D20" s="19" t="inlineStr">
        <is>
          <t>生産管理システム、与信管理システム、承認フロー（メール）</t>
        </is>
      </c>
      <c r="E20" s="19" t="inlineStr">
        <is>
          <t>注文引受票発行システム、メール、郵送</t>
        </is>
      </c>
      <c r="F20" s="19" t="n"/>
      <c r="G20" s="3" t="n"/>
    </row>
    <row r="21" ht="15.75" customHeight="1">
      <c r="A21" s="18" t="inlineStr">
        <is>
          <t>困りごと
（問題点・課題）</t>
        </is>
      </c>
      <c r="B21" s="19" t="inlineStr">
        <is>
          <t>入力項目が多く転記に時間がかかる</t>
        </is>
      </c>
      <c r="C21" s="19" t="inlineStr">
        <is>
          <t>突合が手作業で時間がかかり、転記ミスが出る</t>
        </is>
      </c>
      <c r="D21" s="19" t="inlineStr">
        <is>
          <t>納期・与信の確認基準が明文化されていない</t>
        </is>
      </c>
      <c r="E21" s="19" t="inlineStr">
        <is>
          <t>送付・受領記録が残らず、問い合わせ対応に時間がかかる</t>
        </is>
      </c>
      <c r="F21" s="19" t="inlineStr">
        <is>
          <t>月末月初に残業が集中する</t>
        </is>
      </c>
      <c r="G21" s="3" t="n"/>
    </row>
    <row r="22" ht="15.75" customHeight="1">
      <c r="A22" s="2" t="n"/>
      <c r="B22" s="2" t="n"/>
      <c r="C22" s="2" t="n"/>
      <c r="D22" s="2" t="n"/>
      <c r="E22" s="2" t="n"/>
      <c r="F22" s="2" t="n"/>
    </row>
    <row r="23" ht="15.75" customHeight="1">
      <c r="A23" s="2" t="n"/>
      <c r="B23" s="2" t="n"/>
      <c r="C23" s="2" t="n"/>
      <c r="D23" s="2" t="n"/>
      <c r="E23" s="2" t="n"/>
      <c r="F23" s="2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B4"/>
    <mergeCell ref="A16:F16"/>
    <mergeCell ref="A2:F2"/>
    <mergeCell ref="A9:A13"/>
    <mergeCell ref="A1:F1"/>
    <mergeCell ref="A3:F3"/>
    <mergeCell ref="A7:F7"/>
    <mergeCell ref="C4:D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showGridLines="0" workbookViewId="0">
      <selection activeCell="D4" sqref="D4"/>
    </sheetView>
  </sheetViews>
  <sheetFormatPr baseColWidth="8" defaultColWidth="14.44140625" defaultRowHeight="15" customHeight="1"/>
  <cols>
    <col width="28.33203125" customWidth="1" min="1" max="1"/>
    <col width="29.44140625" customWidth="1" min="2" max="2"/>
    <col width="32.88671875" customWidth="1" min="3" max="3"/>
    <col width="30.5546875" customWidth="1" min="4" max="4"/>
    <col width="16.88671875" customWidth="1" min="5" max="5"/>
    <col width="32.88671875" customWidth="1" min="6" max="6"/>
    <col width="26" customWidth="1" min="7" max="7"/>
  </cols>
  <sheetData>
    <row r="1" ht="27.75" customHeight="1">
      <c r="A1" s="61" t="inlineStr">
        <is>
          <t>Chapter 03-04｜データとワークフローを設計する</t>
        </is>
      </c>
      <c r="H1" s="8" t="n"/>
      <c r="I1" s="8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AIに渡す「入力データ・参照情報」と、処理の流れ「起点 / AI処理 / ツール実行 / 人の確認 / 出力データ / 記録・監査」を整理します。</t>
        </is>
      </c>
      <c r="H2" s="3" t="n"/>
      <c r="I2" s="3" t="n"/>
    </row>
    <row r="3" ht="17.4" customHeight="1">
      <c r="A3" s="48" t="inlineStr">
        <is>
          <t>まず日本語の項目名を見て、必要に応じて括弧内の英語を参照してください。起点から出力まで、1行ずつ流れを追うと整理しやすくなります。</t>
        </is>
      </c>
      <c r="B3" s="63" t="n"/>
      <c r="C3" s="63" t="n"/>
      <c r="D3" s="63" t="n"/>
      <c r="E3" s="63" t="n"/>
      <c r="F3" s="63" t="n"/>
      <c r="G3" s="64" t="n"/>
      <c r="H3" s="3" t="n"/>
      <c r="I3" s="3" t="n"/>
    </row>
    <row r="4" ht="17.4" customHeight="1">
      <c r="A4" s="51" t="inlineStr">
        <is>
          <t>Ch03-04 データ・ワークフロー設計キャンバス</t>
        </is>
      </c>
      <c r="B4" s="63" t="n"/>
      <c r="C4" s="64" t="n"/>
      <c r="D4" s="22" t="inlineStr">
        <is>
          <t>対象業務：精密機器の注文引受票（注文請書）発行業務</t>
        </is>
      </c>
      <c r="E4" s="22" t="n"/>
      <c r="F4" s="22" t="inlineStr">
        <is>
          <t>作成日：2026/07/10</t>
        </is>
      </c>
      <c r="G4" s="22" t="inlineStr">
        <is>
          <t>作成者：営業部</t>
        </is>
      </c>
      <c r="H4" s="3" t="n"/>
      <c r="I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3" t="n"/>
      <c r="I5" s="3" t="n"/>
    </row>
    <row r="6" ht="34.8" customHeight="1">
      <c r="A6" s="5" t="inlineStr">
        <is>
          <t>項目</t>
        </is>
      </c>
      <c r="B6" s="5" t="inlineStr">
        <is>
          <t>内容・概要
（何をするか）</t>
        </is>
      </c>
      <c r="C6" s="5" t="inlineStr">
        <is>
          <t>データ・情報
（主な入力／出力）</t>
        </is>
      </c>
      <c r="D6" s="5" t="inlineStr">
        <is>
          <t>AI／ツール・方法</t>
        </is>
      </c>
      <c r="E6" s="5" t="inlineStr">
        <is>
          <t>担当
（AI／人）</t>
        </is>
      </c>
      <c r="F6" s="5" t="inlineStr">
        <is>
          <t>確認条件・品質基準</t>
        </is>
      </c>
      <c r="G6" s="5" t="inlineStr">
        <is>
          <t>備考</t>
        </is>
      </c>
      <c r="H6" s="3" t="n"/>
      <c r="I6" s="3" t="n"/>
    </row>
    <row r="7" ht="34.8" customHeight="1">
      <c r="A7" s="18" t="inlineStr">
        <is>
          <t>1 起点（Trigger）</t>
        </is>
      </c>
      <c r="B7" s="20" t="inlineStr">
        <is>
          <t>顧客からの注文書受領を起点にエージェントが起動する</t>
        </is>
      </c>
      <c r="C7" s="20" t="inlineStr">
        <is>
          <t>入力：注文書受領イベント、注文データ
出力：処理開始トリガー</t>
        </is>
      </c>
      <c r="D7" s="20" t="inlineStr">
        <is>
          <t>受発注システムの受信通知、スケジューラ</t>
        </is>
      </c>
      <c r="E7" s="21" t="inlineStr">
        <is>
          <t>AI</t>
        </is>
      </c>
      <c r="F7" s="20" t="inlineStr">
        <is>
          <t>・注文書に必須項目（品番・数量・納期希望）が記載されていること
・件数が前月比±30%以内</t>
        </is>
      </c>
      <c r="G7" s="20" t="inlineStr">
        <is>
          <t>件数が大きく変動した場合は営業マネージャーに通知</t>
        </is>
      </c>
      <c r="H7" s="3" t="n"/>
      <c r="I7" s="3" t="n"/>
    </row>
    <row r="8" ht="34.8" customHeight="1">
      <c r="A8" s="18" t="inlineStr">
        <is>
          <t>2 入力データ（Input Data）</t>
        </is>
      </c>
      <c r="B8" s="20" t="inlineStr">
        <is>
          <t>注文引受票作成に必要なデータを取得・整形する</t>
        </is>
      </c>
      <c r="C8" s="20" t="inlineStr">
        <is>
          <t>入力：注文データ、見積データ、顧客マスタ
出力：注文引受票の元データ</t>
        </is>
      </c>
      <c r="D8" s="20" t="inlineStr">
        <is>
          <t>販売管理システムAPI、顧客マスタ</t>
        </is>
      </c>
      <c r="E8" s="21" t="inlineStr">
        <is>
          <t>AI</t>
        </is>
      </c>
      <c r="F8" s="20" t="inlineStr">
        <is>
          <t>・必須項目（品番・数量・単価・納期）に欠損がない
・見積内容と齟齬がない</t>
        </is>
      </c>
      <c r="G8" s="20" t="inlineStr">
        <is>
          <t>欠損・齟齬データは要確認リストへ回す</t>
        </is>
      </c>
      <c r="H8" s="3" t="n"/>
      <c r="I8" s="3" t="n"/>
    </row>
    <row r="9" ht="34.8" customHeight="1">
      <c r="A9" s="18" t="inlineStr">
        <is>
          <t>3 参照情報（Reference）</t>
        </is>
      </c>
      <c r="B9" s="20" t="inlineStr">
        <is>
          <t>生産キャパシティ・与信限度額・製品仕様マスタを参照する</t>
        </is>
      </c>
      <c r="C9" s="20" t="inlineStr">
        <is>
          <t>入力：生産計画データ、与信限度額、製品仕様マスタ
出力：納期回答候補、与信判定候補</t>
        </is>
      </c>
      <c r="D9" s="20" t="inlineStr">
        <is>
          <t>生産管理システム、与信管理システム</t>
        </is>
      </c>
      <c r="E9" s="21" t="inlineStr">
        <is>
          <t>AI+人</t>
        </is>
      </c>
      <c r="F9" s="20" t="inlineStr">
        <is>
          <t>・最新の生産計画・与信データのみ参照
・古いデータ・未更新マスタは除外</t>
        </is>
      </c>
      <c r="G9" s="20" t="inlineStr">
        <is>
          <t>生産計画改定時は生産管理部が更新する</t>
        </is>
      </c>
      <c r="H9" s="3" t="n"/>
      <c r="I9" s="3" t="n"/>
    </row>
    <row r="10" ht="34.8" customHeight="1">
      <c r="A10" s="18" t="inlineStr">
        <is>
          <t>4 AI処理（AI Process）</t>
        </is>
      </c>
      <c r="B10" s="20" t="inlineStr">
        <is>
          <t>注文引受票の生成、金額・納期の計算とチェックを行う</t>
        </is>
      </c>
      <c r="C10" s="20" t="inlineStr">
        <is>
          <t>入力：注文元データ、生産・与信情報
出力：注文引受票ドラフト、チェック結果、要確認フラグ</t>
        </is>
      </c>
      <c r="D10" s="20" t="inlineStr">
        <is>
          <t>生成AI（ドラフト作成）＋計算検証スクリプト</t>
        </is>
      </c>
      <c r="E10" s="21" t="inlineStr">
        <is>
          <t>AI</t>
        </is>
      </c>
      <c r="F10" s="20" t="inlineStr">
        <is>
          <t>・金額・数量はシステム値と完全一致
・与信限度額超過・納期回答不可は要確認フラグを付ける</t>
        </is>
      </c>
      <c r="G10" s="20" t="inlineStr">
        <is>
          <t>金額・納期計算はAI任せにせず必ず突合する</t>
        </is>
      </c>
      <c r="H10" s="3" t="n"/>
      <c r="I10" s="3" t="n"/>
    </row>
    <row r="11" ht="34.8" customHeight="1">
      <c r="A11" s="18" t="inlineStr">
        <is>
          <t>5 ツール実行（Tool Action）</t>
        </is>
      </c>
      <c r="B11" s="20" t="inlineStr">
        <is>
          <t>注文引受票PDFを生成し、発行システムへ下書き登録する</t>
        </is>
      </c>
      <c r="C11" s="20" t="inlineStr">
        <is>
          <t>入力：承認前ドラフト
出力：注文引受票PDF（下書き）、登録結果</t>
        </is>
      </c>
      <c r="D11" s="20" t="inlineStr">
        <is>
          <t>注文引受票発行システムAPI、PDF生成</t>
        </is>
      </c>
      <c r="E11" s="21" t="inlineStr">
        <is>
          <t>AI</t>
        </is>
      </c>
      <c r="F11" s="20" t="inlineStr">
        <is>
          <t>・承認前は「下書き」ステータスのみ
・送付は実行しない</t>
        </is>
      </c>
      <c r="G11" s="20" t="inlineStr">
        <is>
          <t>自動送付は禁止</t>
        </is>
      </c>
      <c r="H11" s="3" t="n"/>
      <c r="I11" s="3" t="n"/>
    </row>
    <row r="12" ht="34.8" customHeight="1">
      <c r="A12" s="18" t="inlineStr">
        <is>
          <t>6 人の確認（Human Check）</t>
        </is>
      </c>
      <c r="B12" s="20" t="inlineStr">
        <is>
          <t>営業担当が全件確認し、例外は営業マネージャーが承認する</t>
        </is>
      </c>
      <c r="C12" s="20" t="inlineStr">
        <is>
          <t>入力：ドラフト、チェック結果、要確認理由
出力：承認／差戻し</t>
        </is>
      </c>
      <c r="D12" s="20" t="inlineStr">
        <is>
          <t>承認ワークフロー、チェックリスト</t>
        </is>
      </c>
      <c r="E12" s="21" t="inlineStr">
        <is>
          <t>人</t>
        </is>
      </c>
      <c r="F12" s="20" t="inlineStr">
        <is>
          <t>・与信限度額超過・新規顧客・特別価格・短納期は必須確認</t>
        </is>
      </c>
      <c r="G12" s="20" t="inlineStr">
        <is>
          <t>差戻し理由は記録して改善に使う</t>
        </is>
      </c>
      <c r="H12" s="3" t="n"/>
      <c r="I12" s="3" t="n"/>
    </row>
    <row r="13" ht="34.8" customHeight="1">
      <c r="A13" s="18" t="inlineStr">
        <is>
          <t>7 出力データ（Output）</t>
        </is>
      </c>
      <c r="B13" s="20" t="inlineStr">
        <is>
          <t>承認済み注文引受票を発行し、送付・受領確認を行う</t>
        </is>
      </c>
      <c r="C13" s="20" t="inlineStr">
        <is>
          <t>入力：承認済みドラフト
出力：注文引受票PDF、送付リスト、受領確認記録</t>
        </is>
      </c>
      <c r="D13" s="20" t="inlineStr">
        <is>
          <t>注文引受票発行システム、メール</t>
        </is>
      </c>
      <c r="E13" s="21" t="inlineStr">
        <is>
          <t>AI+人</t>
        </is>
      </c>
      <c r="F13" s="20" t="inlineStr">
        <is>
          <t>・送付実行は人が行う
・宛先は顧客マスタと一致していること</t>
        </is>
      </c>
      <c r="G13" s="20" t="inlineStr">
        <is>
          <t>受領確認結果も記録する</t>
        </is>
      </c>
      <c r="H13" s="3" t="n"/>
      <c r="I13" s="3" t="n"/>
    </row>
    <row r="14" ht="34.8" customHeight="1">
      <c r="A14" s="18" t="inlineStr">
        <is>
          <t>8 記録・監査（Log &amp; Audit）</t>
        </is>
      </c>
      <c r="B14" s="20" t="inlineStr">
        <is>
          <t>生成・確認・修正の履歴を保存する</t>
        </is>
      </c>
      <c r="C14" s="20" t="inlineStr">
        <is>
          <t>入力：注文データ、ドラフト、承認者、修正内容
出力：監査ログ</t>
        </is>
      </c>
      <c r="D14" s="20" t="inlineStr">
        <is>
          <t>操作ログ、発行履歴DB</t>
        </is>
      </c>
      <c r="E14" s="21" t="inlineStr">
        <is>
          <t>AI</t>
        </is>
      </c>
      <c r="F14" s="20" t="inlineStr">
        <is>
          <t>・注文引受票1件ごとに元データと承認者を追跡できる</t>
        </is>
      </c>
      <c r="G14" s="20" t="inlineStr">
        <is>
          <t>取引監査・顧客問い合わせに対応できる粒度で保存</t>
        </is>
      </c>
      <c r="H14" s="3" t="n"/>
      <c r="I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3" t="n"/>
      <c r="I15" s="3" t="n"/>
    </row>
    <row r="16" ht="17.4" customHeight="1">
      <c r="A16" s="9" t="n"/>
      <c r="B16" s="9" t="n"/>
      <c r="C16" s="9" t="n"/>
      <c r="D16" s="9" t="n"/>
      <c r="E16" s="9" t="n"/>
      <c r="F16" s="9" t="n"/>
      <c r="G16" s="9" t="n"/>
      <c r="H16" s="3" t="n"/>
      <c r="I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A3:G3"/>
    <mergeCell ref="A2:G2"/>
    <mergeCell ref="A1:G1"/>
  </mergeCells>
  <dataValidations count="1">
    <dataValidation sqref="E7:E14" showDropDown="0" showInputMessage="0" showErrorMessage="1" allowBlank="1" type="list">
      <formula1>"AI,人,AI+人"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9"/>
  <sheetViews>
    <sheetView showGridLines="0" workbookViewId="0">
      <selection activeCell="A1" sqref="A1:J1"/>
    </sheetView>
  </sheetViews>
  <sheetFormatPr baseColWidth="8" defaultColWidth="14.44140625" defaultRowHeight="15" customHeight="1"/>
  <cols>
    <col width="6.5546875" customWidth="1" min="1" max="1"/>
    <col width="35.109375" customWidth="1" min="2" max="2"/>
    <col width="20.33203125" customWidth="1" min="3" max="6"/>
    <col width="22.5546875" customWidth="1" min="7" max="7"/>
    <col width="20.33203125" customWidth="1" min="8" max="8"/>
    <col width="21.44140625" customWidth="1" min="9" max="9"/>
    <col width="30.5546875" customWidth="1" min="10" max="10"/>
  </cols>
  <sheetData>
    <row r="1" ht="27.75" customHeight="1">
      <c r="A1" s="61" t="inlineStr">
        <is>
          <t>Chapter 05｜推進体制と責任を決める</t>
        </is>
      </c>
      <c r="K1" s="8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組織としてAIエージェントを動かすために、関係者・責任構造・確認者・意思決定者を明確にします。</t>
        </is>
      </c>
      <c r="K2" s="3" t="n"/>
    </row>
    <row r="3" ht="17.4" customHeight="1">
      <c r="A3" s="43" t="inlineStr">
        <is>
          <t>Ch05 役割・責任マトリクス（RACI）</t>
        </is>
      </c>
      <c r="B3" s="63" t="n"/>
      <c r="C3" s="64" t="n"/>
      <c r="D3" s="43" t="inlineStr">
        <is>
          <t>各タスクに対して、誰が実行し、誰が承認し、誰に相談・共有するかを整理します。</t>
        </is>
      </c>
      <c r="E3" s="63" t="n"/>
      <c r="F3" s="63" t="n"/>
      <c r="G3" s="63" t="n"/>
      <c r="H3" s="63" t="n"/>
      <c r="I3" s="63" t="n"/>
      <c r="J3" s="64" t="n"/>
      <c r="K3" s="3" t="n"/>
    </row>
    <row r="4" ht="17.4" customHeight="1">
      <c r="A4" s="43" t="inlineStr">
        <is>
          <t>R：実行責任（Responsible）　A：最終責任（Accountable）　C：相談先（Consulted）　I：情報共有先（Informed）</t>
        </is>
      </c>
      <c r="B4" s="63" t="n"/>
      <c r="C4" s="63" t="n"/>
      <c r="D4" s="63" t="n"/>
      <c r="E4" s="63" t="n"/>
      <c r="F4" s="63" t="n"/>
      <c r="G4" s="63" t="n"/>
      <c r="H4" s="63" t="n"/>
      <c r="I4" s="63" t="n"/>
      <c r="J4" s="64" t="n"/>
      <c r="K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3" t="n"/>
    </row>
    <row r="6" ht="34.8" customHeight="1">
      <c r="A6" s="5" t="inlineStr">
        <is>
          <t>No.</t>
        </is>
      </c>
      <c r="B6" s="5" t="inlineStr">
        <is>
          <t>タスク（やること）</t>
        </is>
      </c>
      <c r="C6" s="5" t="inlineStr">
        <is>
          <t>業務部門
（担当者）</t>
        </is>
      </c>
      <c r="D6" s="5" t="inlineStr">
        <is>
          <t>業務部門
（マネージャー）</t>
        </is>
      </c>
      <c r="E6" s="5" t="inlineStr">
        <is>
          <t>IT部門
（開発リード）</t>
        </is>
      </c>
      <c r="F6" s="5" t="inlineStr">
        <is>
          <t>IT部門
（運用・インフラ）</t>
        </is>
      </c>
      <c r="G6" s="5" t="inlineStr">
        <is>
          <t>データ・セキュリティ
担当</t>
        </is>
      </c>
      <c r="H6" s="5" t="inlineStr">
        <is>
          <t>経営層
（意思決定者）</t>
        </is>
      </c>
      <c r="I6" s="5" t="inlineStr">
        <is>
          <t>外部ベンダー
（パートナー）</t>
        </is>
      </c>
      <c r="J6" s="5" t="inlineStr">
        <is>
          <t>メモ</t>
        </is>
      </c>
      <c r="K6" s="3" t="n"/>
    </row>
    <row r="7" ht="17.4" customHeight="1">
      <c r="A7" s="6" t="n">
        <v>1</v>
      </c>
      <c r="B7" s="7" t="inlineStr">
        <is>
          <t>要件定義・業務整理</t>
        </is>
      </c>
      <c r="C7" s="25" t="inlineStr">
        <is>
          <t>R</t>
        </is>
      </c>
      <c r="D7" s="25" t="inlineStr">
        <is>
          <t>A</t>
        </is>
      </c>
      <c r="E7" s="25" t="inlineStr">
        <is>
          <t>C</t>
        </is>
      </c>
      <c r="F7" s="25" t="inlineStr">
        <is>
          <t>C</t>
        </is>
      </c>
      <c r="G7" s="25" t="inlineStr">
        <is>
          <t>C</t>
        </is>
      </c>
      <c r="H7" s="25" t="inlineStr">
        <is>
          <t>I</t>
        </is>
      </c>
      <c r="I7" s="25" t="n"/>
      <c r="J7" s="20" t="inlineStr">
        <is>
          <t>営業現場が主導し、件数の多い注文引受票業務から整理</t>
        </is>
      </c>
      <c r="K7" s="3" t="n"/>
    </row>
    <row r="8" ht="17.4" customHeight="1">
      <c r="A8" s="6" t="n">
        <v>2</v>
      </c>
      <c r="B8" s="7" t="inlineStr">
        <is>
          <t>AIソリューション選定</t>
        </is>
      </c>
      <c r="C8" s="25" t="inlineStr">
        <is>
          <t>C</t>
        </is>
      </c>
      <c r="D8" s="25" t="inlineStr">
        <is>
          <t>C</t>
        </is>
      </c>
      <c r="E8" s="25" t="inlineStr">
        <is>
          <t>R</t>
        </is>
      </c>
      <c r="F8" s="25" t="inlineStr">
        <is>
          <t>C</t>
        </is>
      </c>
      <c r="G8" s="25" t="inlineStr">
        <is>
          <t>C</t>
        </is>
      </c>
      <c r="H8" s="25" t="inlineStr">
        <is>
          <t>A</t>
        </is>
      </c>
      <c r="I8" s="25" t="inlineStr">
        <is>
          <t>I</t>
        </is>
      </c>
      <c r="J8" s="20" t="inlineStr">
        <is>
          <t>費用対効果と生産管理・与信管理システムとの連携可否で判断</t>
        </is>
      </c>
      <c r="K8" s="3" t="n"/>
    </row>
    <row r="9" ht="17.4" customHeight="1">
      <c r="A9" s="6" t="n">
        <v>3</v>
      </c>
      <c r="B9" s="7" t="inlineStr">
        <is>
          <t>設計・プロトタイプ開発</t>
        </is>
      </c>
      <c r="C9" s="25" t="inlineStr">
        <is>
          <t>C</t>
        </is>
      </c>
      <c r="D9" s="25" t="inlineStr">
        <is>
          <t>I</t>
        </is>
      </c>
      <c r="E9" s="25" t="inlineStr">
        <is>
          <t>A</t>
        </is>
      </c>
      <c r="F9" s="25" t="inlineStr">
        <is>
          <t>C</t>
        </is>
      </c>
      <c r="G9" s="25" t="inlineStr">
        <is>
          <t>C</t>
        </is>
      </c>
      <c r="H9" s="25" t="n"/>
      <c r="I9" s="25" t="inlineStr">
        <is>
          <t>R</t>
        </is>
      </c>
      <c r="J9" s="20" t="inlineStr">
        <is>
          <t>注文データはマスキングしてプロトタイプ検証</t>
        </is>
      </c>
      <c r="K9" s="3" t="n"/>
    </row>
    <row r="10" ht="17.4" customHeight="1">
      <c r="A10" s="6" t="n">
        <v>4</v>
      </c>
      <c r="B10" s="7" t="inlineStr">
        <is>
          <t>本番開発・テスト</t>
        </is>
      </c>
      <c r="C10" s="25" t="inlineStr">
        <is>
          <t>C</t>
        </is>
      </c>
      <c r="D10" s="25" t="inlineStr">
        <is>
          <t>I</t>
        </is>
      </c>
      <c r="E10" s="25" t="inlineStr">
        <is>
          <t>A</t>
        </is>
      </c>
      <c r="F10" s="25" t="inlineStr">
        <is>
          <t>R</t>
        </is>
      </c>
      <c r="G10" s="25" t="inlineStr">
        <is>
          <t>C</t>
        </is>
      </c>
      <c r="H10" s="25" t="n"/>
      <c r="I10" s="25" t="inlineStr">
        <is>
          <t>R</t>
        </is>
      </c>
      <c r="J10" s="20" t="inlineStr">
        <is>
          <t>本番同等データのテストはセキュリティ担当が確認</t>
        </is>
      </c>
      <c r="K10" s="3" t="n"/>
    </row>
    <row r="11" ht="17.4" customHeight="1">
      <c r="A11" s="6" t="n">
        <v>5</v>
      </c>
      <c r="B11" s="7" t="inlineStr">
        <is>
          <t>データ準備・連携</t>
        </is>
      </c>
      <c r="C11" s="25" t="inlineStr">
        <is>
          <t>R</t>
        </is>
      </c>
      <c r="D11" s="25" t="inlineStr">
        <is>
          <t>A</t>
        </is>
      </c>
      <c r="E11" s="25" t="inlineStr">
        <is>
          <t>C</t>
        </is>
      </c>
      <c r="F11" s="25" t="inlineStr">
        <is>
          <t>C</t>
        </is>
      </c>
      <c r="G11" s="25" t="inlineStr">
        <is>
          <t>C</t>
        </is>
      </c>
      <c r="H11" s="25" t="n"/>
      <c r="I11" s="25" t="inlineStr">
        <is>
          <t>I</t>
        </is>
      </c>
      <c r="J11" s="20" t="inlineStr">
        <is>
          <t>顧客マスタ・製品仕様マスタの整備は営業部が実施</t>
        </is>
      </c>
      <c r="K11" s="3" t="n"/>
    </row>
    <row r="12" ht="17.4" customHeight="1">
      <c r="A12" s="6" t="n">
        <v>6</v>
      </c>
      <c r="B12" s="7" t="inlineStr">
        <is>
          <t>導入・トレーニング</t>
        </is>
      </c>
      <c r="C12" s="25" t="inlineStr">
        <is>
          <t>R</t>
        </is>
      </c>
      <c r="D12" s="25" t="inlineStr">
        <is>
          <t>A</t>
        </is>
      </c>
      <c r="E12" s="25" t="inlineStr">
        <is>
          <t>C</t>
        </is>
      </c>
      <c r="F12" s="25" t="inlineStr">
        <is>
          <t>C</t>
        </is>
      </c>
      <c r="G12" s="25" t="inlineStr">
        <is>
          <t>I</t>
        </is>
      </c>
      <c r="H12" s="25" t="inlineStr">
        <is>
          <t>I</t>
        </is>
      </c>
      <c r="I12" s="25" t="inlineStr">
        <is>
          <t>C</t>
        </is>
      </c>
      <c r="J12" s="20" t="inlineStr">
        <is>
          <t>営業チームへの操作研修と例外時の手順書整備</t>
        </is>
      </c>
      <c r="K12" s="3" t="n"/>
    </row>
    <row r="13" ht="17.4" customHeight="1">
      <c r="A13" s="6" t="n">
        <v>7</v>
      </c>
      <c r="B13" s="7" t="inlineStr">
        <is>
          <t>運用・改善</t>
        </is>
      </c>
      <c r="C13" s="25" t="inlineStr">
        <is>
          <t>R</t>
        </is>
      </c>
      <c r="D13" s="25" t="inlineStr">
        <is>
          <t>A</t>
        </is>
      </c>
      <c r="E13" s="25" t="inlineStr">
        <is>
          <t>C</t>
        </is>
      </c>
      <c r="F13" s="25" t="inlineStr">
        <is>
          <t>R</t>
        </is>
      </c>
      <c r="G13" s="25" t="inlineStr">
        <is>
          <t>C</t>
        </is>
      </c>
      <c r="H13" s="25" t="inlineStr">
        <is>
          <t>I</t>
        </is>
      </c>
      <c r="I13" s="25" t="inlineStr">
        <is>
          <t>C</t>
        </is>
      </c>
      <c r="J13" s="20" t="inlineStr">
        <is>
          <t>月次締め後にKPIレビューし改善バックログへ反映</t>
        </is>
      </c>
      <c r="K13" s="3" t="n"/>
    </row>
    <row r="14" ht="17.4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3" t="n"/>
    </row>
    <row r="16" ht="1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1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D3:J3"/>
    <mergeCell ref="A4:J4"/>
    <mergeCell ref="A3:C3"/>
    <mergeCell ref="A2:J2"/>
  </mergeCells>
  <conditionalFormatting sqref="C7:I13">
    <cfRule type="cellIs" priority="1" operator="equal" dxfId="12" stopIfTrue="1">
      <formula>"""R"""</formula>
    </cfRule>
    <cfRule type="cellIs" priority="2" operator="equal" dxfId="11" stopIfTrue="1">
      <formula>"""A"""</formula>
    </cfRule>
    <cfRule type="cellIs" priority="3" operator="equal" dxfId="10" stopIfTrue="1">
      <formula>"""C"""</formula>
    </cfRule>
    <cfRule type="cellIs" priority="4" operator="equal" dxfId="9" stopIfTrue="1">
      <formula>"""I"""</formula>
    </cfRule>
  </conditionalFormatting>
  <dataValidations count="1">
    <dataValidation sqref="C7:I13" showDropDown="0" showInputMessage="0" showErrorMessage="1" allowBlank="1" type="list">
      <formula1>"R,A,C,I"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tabSelected="1" topLeftCell="A31" workbookViewId="0">
      <selection activeCell="E34" sqref="E34"/>
    </sheetView>
  </sheetViews>
  <sheetFormatPr baseColWidth="8" defaultColWidth="14.44140625" defaultRowHeight="15" customHeight="1"/>
  <cols>
    <col width="13.109375" customWidth="1" style="3" min="1" max="1"/>
    <col width="10.109375" customWidth="1" style="3" min="2" max="2"/>
    <col width="16.5546875" customWidth="1" style="3" min="3" max="3"/>
    <col width="24.5546875" customWidth="1" style="3" min="4" max="4"/>
    <col width="31" customWidth="1" style="3" min="5" max="5"/>
    <col width="24.5546875" customWidth="1" style="3" min="6" max="6"/>
    <col width="35.33203125" customWidth="1" style="3" min="7" max="7"/>
    <col width="15.44140625" customWidth="1" style="3" min="8" max="8"/>
    <col width="9.33203125" customWidth="1" style="3" min="9" max="26"/>
    <col width="14.44140625" customWidth="1" style="3" min="27" max="16384"/>
  </cols>
  <sheetData>
    <row r="1" ht="27.75" customHeight="1">
      <c r="A1" s="73" t="inlineStr">
        <is>
          <t>Chapter 06｜5D進行チェックシート</t>
        </is>
      </c>
      <c r="B1" s="74" t="n"/>
      <c r="C1" s="74" t="n"/>
      <c r="D1" s="74" t="n"/>
      <c r="E1" s="74" t="n"/>
      <c r="F1" s="74" t="n"/>
      <c r="G1" s="74" t="n"/>
      <c r="H1" s="75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 ht="24" customHeight="1">
      <c r="A2" s="76" t="inlineStr">
        <is>
          <t>AIエージェント導入案件を5Dモデルに沿って点検し、各Stepで次に進める根拠が揃っているかを確認します。</t>
        </is>
      </c>
      <c r="B2" s="74" t="n"/>
      <c r="C2" s="74" t="n"/>
      <c r="D2" s="74" t="n"/>
      <c r="E2" s="74" t="n"/>
      <c r="F2" s="74" t="n"/>
      <c r="G2" s="74" t="n"/>
      <c r="H2" s="75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 ht="14.25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 ht="21.75" customHeight="1">
      <c r="A4" s="28" t="inlineStr">
        <is>
          <t>案件名</t>
        </is>
      </c>
      <c r="B4" s="57" t="inlineStr">
        <is>
          <t>注文引受票発行AIエージェント導入</t>
        </is>
      </c>
      <c r="C4" s="63" t="n"/>
      <c r="D4" s="64" t="n"/>
      <c r="E4" s="28" t="inlineStr">
        <is>
          <t>対象業務</t>
        </is>
      </c>
      <c r="F4" s="57" t="inlineStr">
        <is>
          <t>精密機器の注文引受票（注文請書）発行業務</t>
        </is>
      </c>
      <c r="G4" s="63" t="n"/>
      <c r="H4" s="64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21.75" customHeight="1">
      <c r="A5" s="28" t="inlineStr">
        <is>
          <t>作成者</t>
        </is>
      </c>
      <c r="B5" s="57" t="inlineStr">
        <is>
          <t>営業部 担当者</t>
        </is>
      </c>
      <c r="C5" s="28" t="inlineStr">
        <is>
          <t>作成日</t>
        </is>
      </c>
      <c r="D5" s="57" t="inlineStr">
        <is>
          <t>2026/07/10</t>
        </is>
      </c>
      <c r="E5" s="28" t="inlineStr">
        <is>
          <t>最終判断</t>
        </is>
      </c>
      <c r="F5" s="57" t="inlineStr">
        <is>
          <t>Go（営業チーム内で小規模展開へ）</t>
        </is>
      </c>
      <c r="G5" s="28" t="inlineStr">
        <is>
          <t>参照資料</t>
        </is>
      </c>
      <c r="H5" s="57" t="inlineStr">
        <is>
          <t>受注業務棚卸しシート、注文引受票発行手順書、PoC結果報告書</t>
        </is>
      </c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 ht="14.2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 ht="24" customHeight="1">
      <c r="A7" s="30" t="inlineStr">
        <is>
          <t>Step</t>
        </is>
      </c>
      <c r="B7" s="30" t="inlineStr">
        <is>
          <t>いつ</t>
        </is>
      </c>
      <c r="C7" s="30" t="inlineStr">
        <is>
          <t>確認項目</t>
        </is>
      </c>
      <c r="D7" s="30" t="inlineStr">
        <is>
          <t>確認すること</t>
        </is>
      </c>
      <c r="E7" s="30" t="inlineStr">
        <is>
          <t>確認結果・参照先</t>
        </is>
      </c>
      <c r="F7" s="30" t="inlineStr">
        <is>
          <t>記入例</t>
        </is>
      </c>
      <c r="G7" s="30" t="inlineStr">
        <is>
          <t>確認OKの目安</t>
        </is>
      </c>
      <c r="H7" s="30" t="inlineStr">
        <is>
          <t>メモ</t>
        </is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30.75" customHeight="1">
      <c r="A8" s="52" t="inlineStr">
        <is>
          <t>1 Discovery
発見・選定</t>
        </is>
      </c>
      <c r="B8" s="28" t="inlineStr">
        <is>
          <t>事前</t>
        </is>
      </c>
      <c r="C8" s="33" t="inlineStr">
        <is>
          <t>対象業務</t>
        </is>
      </c>
      <c r="D8" s="34" t="inlineStr">
        <is>
          <t>AIで扱う業務を1つに絞る</t>
        </is>
      </c>
      <c r="E8" s="57" t="inlineStr">
        <is>
          <t>注文引受票の作成・発行（標準受注品）に限定
参照：受注業務棚卸しシート_2026/06</t>
        </is>
      </c>
      <c r="F8" s="34" t="inlineStr">
        <is>
          <t>例：総務への社内問い合わせ一次回答</t>
        </is>
      </c>
      <c r="G8" s="35" t="inlineStr">
        <is>
          <t>□ 1つの業務名で書けている</t>
        </is>
      </c>
      <c r="H8" s="57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 ht="30.75" customHeight="1">
      <c r="A9" s="77" t="n"/>
      <c r="B9" s="28" t="inlineStr">
        <is>
          <t>事前</t>
        </is>
      </c>
      <c r="C9" s="33" t="inlineStr">
        <is>
          <t>利用者</t>
        </is>
      </c>
      <c r="D9" s="34" t="inlineStr">
        <is>
          <t>誰が使うか、誰が困っているか</t>
        </is>
      </c>
      <c r="E9" s="57" t="inlineStr">
        <is>
          <t>営業担当5名が利用、承認者は営業マネージャー1名
参照：営業部体制図</t>
        </is>
      </c>
      <c r="F9" s="34" t="inlineStr">
        <is>
          <t>例：総務担当者、問い合わせをする全社員</t>
        </is>
      </c>
      <c r="G9" s="35" t="inlineStr">
        <is>
          <t>□ 利用者と現場責任者が見える</t>
        </is>
      </c>
      <c r="H9" s="57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 ht="30.75" customHeight="1">
      <c r="A10" s="77" t="n"/>
      <c r="B10" s="28" t="inlineStr">
        <is>
          <t>事前</t>
        </is>
      </c>
      <c r="C10" s="33" t="inlineStr">
        <is>
          <t>困りごと</t>
        </is>
      </c>
      <c r="D10" s="34" t="inlineStr">
        <is>
          <t>時間・件数・ミス・属人化のどれが問題か</t>
        </is>
      </c>
      <c r="E10" s="57" t="inlineStr">
        <is>
          <t>月200件、作成12分＋確認8分／件、転記ミス月8件、月末月初に残業集中
参照：営業KPI月次レポート_2026/06</t>
        </is>
      </c>
      <c r="F10" s="34" t="inlineStr">
        <is>
          <t>例：月300件、平均10分、担当者に偏る</t>
        </is>
      </c>
      <c r="G10" s="35" t="inlineStr">
        <is>
          <t>□ 数字または頻度で書けている</t>
        </is>
      </c>
      <c r="H10" s="57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 ht="30.75" customHeight="1">
      <c r="A11" s="77" t="n"/>
      <c r="B11" s="28" t="inlineStr">
        <is>
          <t>事前</t>
        </is>
      </c>
      <c r="C11" s="33" t="inlineStr">
        <is>
          <t>AIで試す理由</t>
        </is>
      </c>
      <c r="D11" s="34" t="inlineStr">
        <is>
          <t>なぜ通常の業務整理だけでなくAIを使うのか</t>
        </is>
      </c>
      <c r="E11" s="57" t="inlineStr">
        <is>
          <t>注文書・見積書から品番・数量・納期を読み取り整形する必要があり、表記ゆれ・特別仕様対応が多い
参照：AI適合性検討メモ</t>
        </is>
      </c>
      <c r="F11" s="34" t="inlineStr">
        <is>
          <t>例：質問文が毎回違い、規程の根拠確認が必要</t>
        </is>
      </c>
      <c r="G11" s="35" t="inlineStr">
        <is>
          <t>□ 文章・判断・検索などAI向きの理由がある</t>
        </is>
      </c>
      <c r="H11" s="57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 ht="30.75" customHeight="1">
      <c r="A12" s="78" t="n"/>
      <c r="B12" s="28" t="inlineStr">
        <is>
          <t>事前</t>
        </is>
      </c>
      <c r="C12" s="33" t="inlineStr">
        <is>
          <t>最初の範囲</t>
        </is>
      </c>
      <c r="D12" s="34" t="inlineStr">
        <is>
          <t>1か月で試せる範囲に絞る</t>
        </is>
      </c>
      <c r="E12" s="57" t="inlineStr">
        <is>
          <t>標準受注品（150件）のみ。特注品・海外向け輸出案件は対象外
参照：PoCスコープメモ_v1.0</t>
        </is>
      </c>
      <c r="F12" s="34" t="inlineStr">
        <is>
          <t>例：総務FAQのうち勤怠・経費の2カテゴリ</t>
        </is>
      </c>
      <c r="G12" s="35" t="inlineStr">
        <is>
          <t>□ 広すぎず、PoCできる範囲になっている</t>
        </is>
      </c>
      <c r="H12" s="57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 ht="24.75" customHeight="1">
      <c r="A13" s="31" t="inlineStr">
        <is>
          <t>判断</t>
        </is>
      </c>
      <c r="B13" s="31" t="inlineStr">
        <is>
          <t>判定</t>
        </is>
      </c>
      <c r="C13" s="33" t="inlineStr">
        <is>
          <t>Step判断</t>
        </is>
      </c>
      <c r="D13" s="34" t="inlineStr">
        <is>
          <t>Go / Pivot / No-Goを選ぶ</t>
        </is>
      </c>
      <c r="E13" s="32" t="inlineStr">
        <is>
          <t>Go：対象業務・利用者・効果が数字で確認できたため</t>
        </is>
      </c>
      <c r="F13" s="34" t="inlineStr">
        <is>
          <t>Go＝次へ / Pivot＝不足を直す / No-Go＝テーマ再考</t>
        </is>
      </c>
      <c r="G13" s="31" t="inlineStr">
        <is>
          <t>責任者</t>
        </is>
      </c>
      <c r="H13" s="57" t="inlineStr">
        <is>
          <t>責任者：営業マネージャー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 ht="30.75" customHeight="1">
      <c r="A14" s="52" t="inlineStr">
        <is>
          <t>2 Definition
定義・構造化</t>
        </is>
      </c>
      <c r="B14" s="28" t="inlineStr">
        <is>
          <t>事前</t>
        </is>
      </c>
      <c r="C14" s="33" t="inlineStr">
        <is>
          <t>現在の流れ</t>
        </is>
      </c>
      <c r="D14" s="34" t="inlineStr">
        <is>
          <t>今の業務手順を3〜5ステップで書く</t>
        </is>
      </c>
      <c r="E14" s="57" t="inlineStr">
        <is>
          <t>受注受付→内容確認→与信・納期確認→注文引受票発行→送付→記録
参照：As-Is業務フロー（Ch02シート）</t>
        </is>
      </c>
      <c r="F14" s="34" t="inlineStr">
        <is>
          <t>例：質問受付→担当確認→規程検索→回答作成→送信</t>
        </is>
      </c>
      <c r="G14" s="35" t="inlineStr">
        <is>
          <t>□ As-Isが事実ベースで書けている</t>
        </is>
      </c>
      <c r="H14" s="57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 ht="30.75" customHeight="1">
      <c r="A15" s="77" t="n"/>
      <c r="B15" s="28" t="inlineStr">
        <is>
          <t>事前</t>
        </is>
      </c>
      <c r="C15" s="33" t="inlineStr">
        <is>
          <t>AIに任せる工程</t>
        </is>
      </c>
      <c r="D15" s="34" t="inlineStr">
        <is>
          <t>AIが担当する工程と人が残す工程を分ける</t>
        </is>
      </c>
      <c r="E15" s="57" t="inlineStr">
        <is>
          <t>AI：ドラフト作成・金額/納期チェック ／ 人：最終承認・送付実行
参照：役割分担表_v1.0</t>
        </is>
      </c>
      <c r="F15" s="34" t="inlineStr">
        <is>
          <t>例：AIは回答案作成、人は最終承認</t>
        </is>
      </c>
      <c r="G15" s="35" t="inlineStr">
        <is>
          <t>□ AIと人の境界が明確</t>
        </is>
      </c>
      <c r="H15" s="57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 ht="30.75" customHeight="1">
      <c r="A16" s="77" t="n"/>
      <c r="B16" s="28" t="inlineStr">
        <is>
          <t>事前</t>
        </is>
      </c>
      <c r="C16" s="33" t="inlineStr">
        <is>
          <t>入力データ</t>
        </is>
      </c>
      <c r="D16" s="34" t="inlineStr">
        <is>
          <t>AIに渡すデータと保管場所を書く</t>
        </is>
      </c>
      <c r="E16" s="57" t="inlineStr">
        <is>
          <t>販売管理システムの受注データ、顧客マスタ、生産計画データ、与信限度額
参照：入力データ一覧_v1.0</t>
        </is>
      </c>
      <c r="F16" s="34" t="inlineStr">
        <is>
          <t>例：FAQ、規程PDF、過去問い合わせメール</t>
        </is>
      </c>
      <c r="G16" s="35" t="inlineStr">
        <is>
          <t>□ 利用可能なデータ所在が分かる</t>
        </is>
      </c>
      <c r="H16" s="57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 ht="30.75" customHeight="1">
      <c r="A17" s="77" t="n"/>
      <c r="B17" s="28" t="inlineStr">
        <is>
          <t>事前</t>
        </is>
      </c>
      <c r="C17" s="33" t="inlineStr">
        <is>
          <t>出力</t>
        </is>
      </c>
      <c r="D17" s="34" t="inlineStr">
        <is>
          <t>AIからほしい成果物を書く</t>
        </is>
      </c>
      <c r="E17" s="57" t="inlineStr">
        <is>
          <t>注文引受票ドラフト（PDF）、チェック結果一覧、要確認理由。営業担当が利用
参照：出力サンプル_v1.0</t>
        </is>
      </c>
      <c r="F17" s="34" t="inlineStr">
        <is>
          <t>例：回答案、参照元、確認が必要な理由</t>
        </is>
      </c>
      <c r="G17" s="35" t="inlineStr">
        <is>
          <t>□ 誰が使う出力か分かる</t>
        </is>
      </c>
      <c r="H17" s="57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 ht="30.75" customHeight="1">
      <c r="A18" s="77" t="n"/>
      <c r="B18" s="28" t="inlineStr">
        <is>
          <t>事前</t>
        </is>
      </c>
      <c r="C18" s="33" t="inlineStr">
        <is>
          <t>成功基準</t>
        </is>
      </c>
      <c r="D18" s="34" t="inlineStr">
        <is>
          <t>PoCで使えると言える基準を数字で置く</t>
        </is>
      </c>
      <c r="E18" s="57" t="inlineStr">
        <is>
          <t>ドラフト承認率90%以上、金額・納期誤り0件、作成時間12分→3分／件
参照：成功基準メモ_v1.0</t>
        </is>
      </c>
      <c r="F18" s="34" t="inlineStr">
        <is>
          <t>例：回答案採用率70%以上、重大誤回答0件</t>
        </is>
      </c>
      <c r="G18" s="35" t="inlineStr">
        <is>
          <t>□ 曖昧語ではなく数値基準になっている</t>
        </is>
      </c>
      <c r="H18" s="57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 ht="30.75" customHeight="1">
      <c r="A19" s="78" t="n"/>
      <c r="B19" s="28" t="inlineStr">
        <is>
          <t>事前</t>
        </is>
      </c>
      <c r="C19" s="33" t="inlineStr">
        <is>
          <t>制約条件</t>
        </is>
      </c>
      <c r="D19" s="34" t="inlineStr">
        <is>
          <t>法務・情報管理・データ利用の制約を書く</t>
        </is>
      </c>
      <c r="E19" s="57" t="inlineStr">
        <is>
          <t>自動送付は禁止（承認後に人が送付）。与信情報は経理承認済みの範囲のみ処理。取引基本契約の記載要件を遵守
参照：法務・経理確認メモ_2026/06</t>
        </is>
      </c>
      <c r="F19" s="34" t="inlineStr">
        <is>
          <t>例：個人情報はマスキング、未承認規程は参照不可</t>
        </is>
      </c>
      <c r="G19" s="35" t="inlineStr">
        <is>
          <t>□ 進める前提条件が確認されている</t>
        </is>
      </c>
      <c r="H19" s="57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 ht="24.75" customHeight="1">
      <c r="A20" s="31" t="inlineStr">
        <is>
          <t>判断</t>
        </is>
      </c>
      <c r="B20" s="31" t="inlineStr">
        <is>
          <t>判定</t>
        </is>
      </c>
      <c r="C20" s="33" t="inlineStr">
        <is>
          <t>Step判断</t>
        </is>
      </c>
      <c r="D20" s="34" t="inlineStr">
        <is>
          <t>Go / Pivot / No-Goを選ぶ</t>
        </is>
      </c>
      <c r="E20" s="32" t="inlineStr">
        <is>
          <t>Go：成功基準と制約条件を明文化できたため</t>
        </is>
      </c>
      <c r="F20" s="34" t="inlineStr">
        <is>
          <t>Go＝次へ / Pivot＝不足を直す / No-Go＝テーマ再考</t>
        </is>
      </c>
      <c r="G20" s="31" t="inlineStr">
        <is>
          <t>責任者</t>
        </is>
      </c>
      <c r="H20" s="57" t="inlineStr">
        <is>
          <t>責任者：営業マネージャー</t>
        </is>
      </c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 ht="30.75" customHeight="1">
      <c r="A21" s="52" t="inlineStr">
        <is>
          <t>3 Design
設計</t>
        </is>
      </c>
      <c r="B21" s="28" t="inlineStr">
        <is>
          <t>事前設計</t>
        </is>
      </c>
      <c r="C21" s="33" t="inlineStr">
        <is>
          <t>処理フロー</t>
        </is>
      </c>
      <c r="D21" s="34" t="inlineStr">
        <is>
          <t>AIがどの順番で処理するか</t>
        </is>
      </c>
      <c r="E21" s="57" t="inlineStr">
        <is>
          <t>注文データ取得→顧客マスタ照合→生産・与信照合→引受票生成→金額・納期検証→ドラフトPDF作成
参照：処理フロー図_v1.0</t>
        </is>
      </c>
      <c r="F21" s="34" t="inlineStr">
        <is>
          <t>例：質問分類→RAG検索→回答案生成→根拠表示</t>
        </is>
      </c>
      <c r="G21" s="35" t="inlineStr">
        <is>
          <t>□ 処理の順番が追える</t>
        </is>
      </c>
      <c r="H21" s="57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 ht="30.75" customHeight="1">
      <c r="A22" s="77" t="n"/>
      <c r="B22" s="28" t="inlineStr">
        <is>
          <t>事前設計</t>
        </is>
      </c>
      <c r="C22" s="33" t="inlineStr">
        <is>
          <t>参照・出力設計</t>
        </is>
      </c>
      <c r="D22" s="34" t="inlineStr">
        <is>
          <t>AIが見てよい情報と出力形式を書く</t>
        </is>
      </c>
      <c r="E22" s="57" t="inlineStr">
        <is>
          <t>参照は承認済み顧客マスタ・生産計画・与信データ・見積テンプレートに限定。出力はドラフトPDF＋チェックリスト＋要確認フラグ
参照：I-O設計書_v1.0</t>
        </is>
      </c>
      <c r="F22" s="34" t="inlineStr">
        <is>
          <t>例：承認済みFAQを参照し、回答案・根拠URL・確認理由を出す</t>
        </is>
      </c>
      <c r="G22" s="35" t="inlineStr">
        <is>
          <t>□ 参照元と出力形式が限定されている</t>
        </is>
      </c>
      <c r="H22" s="57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 ht="30.75" customHeight="1">
      <c r="A23" s="77" t="n"/>
      <c r="B23" s="28" t="inlineStr">
        <is>
          <t>事前設計</t>
        </is>
      </c>
      <c r="C23" s="33" t="inlineStr">
        <is>
          <t>権限・禁止事項</t>
        </is>
      </c>
      <c r="D23" s="34" t="inlineStr">
        <is>
          <t>AIに見せない情報、操作させないことを書く</t>
        </is>
      </c>
      <c r="E23" s="57" t="inlineStr">
        <is>
          <t>送付実行・与信限度額変更・特別価格判断は禁止。未承認契約・与信超過情報は参照不可
参照：権限設計メモ</t>
        </is>
      </c>
      <c r="F23" s="34" t="inlineStr">
        <is>
          <t>例：個人評価情報、給与明細、未承認文書は参照不可</t>
        </is>
      </c>
      <c r="G23" s="35" t="inlineStr">
        <is>
          <t>□ 権限と禁止範囲が明確</t>
        </is>
      </c>
      <c r="H23" s="57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 ht="30.75" customHeight="1">
      <c r="A24" s="77" t="n"/>
      <c r="B24" s="28" t="inlineStr">
        <is>
          <t>事前設計</t>
        </is>
      </c>
      <c r="C24" s="33" t="inlineStr">
        <is>
          <t>HITL・失敗時対応</t>
        </is>
      </c>
      <c r="D24" s="34" t="inlineStr">
        <is>
          <t>人が確認する条件と、根拠なし時の動きを書く</t>
        </is>
      </c>
      <c r="E24" s="57" t="inlineStr">
        <is>
          <t>全件を営業担当が承認。与信限度額超過・新規顧客・特別価格・短納期はマネージャー確認へ
参照：HITL設計メモ</t>
        </is>
      </c>
      <c r="F24" s="34" t="inlineStr">
        <is>
          <t>例：全件承認。根拠なし・低信頼度は回答せず担当者へ</t>
        </is>
      </c>
      <c r="G24" s="35" t="inlineStr">
        <is>
          <t>□ 人間確認とエスカレーションがある</t>
        </is>
      </c>
      <c r="H24" s="57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 ht="30.75" customHeight="1">
      <c r="A25" s="77" t="n"/>
      <c r="B25" s="28" t="inlineStr">
        <is>
          <t>検証設計</t>
        </is>
      </c>
      <c r="C25" s="33" t="inlineStr">
        <is>
          <t>PoC対象機能</t>
        </is>
      </c>
      <c r="D25" s="34" t="inlineStr">
        <is>
          <t>今回作る範囲と作らない範囲を決める</t>
        </is>
      </c>
      <c r="E25" s="57" t="inlineStr">
        <is>
          <t>ドラフト生成＋チェックのみ。自動送付・出荷指示は対象外
参照：PoC設計書_v1.0</t>
        </is>
      </c>
      <c r="F25" s="34" t="inlineStr">
        <is>
          <t>例：FAQ検索＋回答案生成のみ。自動送信は対象外</t>
        </is>
      </c>
      <c r="G25" s="35" t="inlineStr">
        <is>
          <t>□ 作りすぎず、対象外も明記されている</t>
        </is>
      </c>
      <c r="H25" s="57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 ht="30.75" customHeight="1">
      <c r="A26" s="77" t="n"/>
      <c r="B26" s="28" t="inlineStr">
        <is>
          <t>検証設計</t>
        </is>
      </c>
      <c r="C26" s="33" t="inlineStr">
        <is>
          <t>テストセット</t>
        </is>
      </c>
      <c r="D26" s="34" t="inlineStr">
        <is>
          <t>通常・境界・例外・禁止ケースの件数を決める</t>
        </is>
      </c>
      <c r="E26" s="57" t="inlineStr">
        <is>
          <t>通常30件、境界10件（納期逼迫・与信近接）、例外5件（特別価格）、禁止5件（対象外契約）
参照：テストセット一覧_v1.0</t>
        </is>
      </c>
      <c r="F26" s="34" t="inlineStr">
        <is>
          <t>例：通常30件、境界10件、例外5件、禁止5件</t>
        </is>
      </c>
      <c r="G26" s="35" t="inlineStr">
        <is>
          <t>□ 後から評価条件を動かせない</t>
        </is>
      </c>
      <c r="H26" s="57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 ht="30.75" customHeight="1">
      <c r="A27" s="78" t="n"/>
      <c r="B27" s="28" t="inlineStr">
        <is>
          <t>検証設計</t>
        </is>
      </c>
      <c r="C27" s="33" t="inlineStr">
        <is>
          <t>評価・足切り条件</t>
        </is>
      </c>
      <c r="D27" s="34" t="inlineStr">
        <is>
          <t>測定指標、必須ゲート、反復上限を決める</t>
        </is>
      </c>
      <c r="E27" s="57" t="inlineStr">
        <is>
          <t>承認率90%以上、金額誤り0、納期誤り0、漏えい0、再検証3回まで
参照：評価条件表_v1.0</t>
        </is>
      </c>
      <c r="F27" s="34" t="inlineStr">
        <is>
          <t>例：採用率70%以上、重大誤回答0、漏えい0、再検証3回まで</t>
        </is>
      </c>
      <c r="G27" s="35" t="inlineStr">
        <is>
          <t>□ Go/Pivot/No-Goの基準が事前に固定されている</t>
        </is>
      </c>
      <c r="H27" s="57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 ht="24.75" customHeight="1">
      <c r="A28" s="31" t="inlineStr">
        <is>
          <t>判断</t>
        </is>
      </c>
      <c r="B28" s="31" t="inlineStr">
        <is>
          <t>判定</t>
        </is>
      </c>
      <c r="C28" s="33" t="inlineStr">
        <is>
          <t>Step判断</t>
        </is>
      </c>
      <c r="D28" s="34" t="inlineStr">
        <is>
          <t>Go / Pivot / No-Goを選ぶ</t>
        </is>
      </c>
      <c r="E28" s="32" t="inlineStr">
        <is>
          <t>Go：検証条件と足切り基準を事前に固定できたため</t>
        </is>
      </c>
      <c r="F28" s="34" t="inlineStr">
        <is>
          <t>Go＝次へ / Pivot＝不足を直す / No-Go＝テーマ再考</t>
        </is>
      </c>
      <c r="G28" s="31" t="inlineStr">
        <is>
          <t>責任者</t>
        </is>
      </c>
      <c r="H28" s="57" t="inlineStr">
        <is>
          <t>責任者：営業マネージャー</t>
        </is>
      </c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 ht="30.75" customHeight="1">
      <c r="A29" s="52" t="inlineStr">
        <is>
          <t>4 Development
開発・PoC</t>
        </is>
      </c>
      <c r="B29" s="28" t="inlineStr">
        <is>
          <t>実施後</t>
        </is>
      </c>
      <c r="C29" s="33" t="inlineStr">
        <is>
          <t>実装した版</t>
        </is>
      </c>
      <c r="D29" s="34" t="inlineStr">
        <is>
          <t>実際にPoCしたモデル・プロンプト・RAG版を書く</t>
        </is>
      </c>
      <c r="E29" s="57" t="inlineStr">
        <is>
          <t>生成AIモデルA、プロンプトv0.4、顧客・生産マスタ2026/6/30版で実施
参照：PoC実施記録_v1.0</t>
        </is>
      </c>
      <c r="F29" s="34" t="inlineStr">
        <is>
          <t>例：model A、prompt v0.3、FAQ 2026/4/20版</t>
        </is>
      </c>
      <c r="G29" s="35" t="inlineStr">
        <is>
          <t>□ どの条件で検証したか再現できる</t>
        </is>
      </c>
      <c r="H29" s="57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 ht="30.75" customHeight="1">
      <c r="A30" s="77" t="n"/>
      <c r="B30" s="28" t="inlineStr">
        <is>
          <t>実施後</t>
        </is>
      </c>
      <c r="C30" s="33" t="inlineStr">
        <is>
          <t>実施条件</t>
        </is>
      </c>
      <c r="D30" s="34" t="inlineStr">
        <is>
          <t>実際のデータ件数、利用者、環境を書く</t>
        </is>
      </c>
      <c r="E30" s="57" t="inlineStr">
        <is>
          <t>過去2か月分の注文150件、営業2名、テスト環境で実施
参照：PoC実施記録_v1.0</t>
        </is>
      </c>
      <c r="F30" s="34" t="inlineStr">
        <is>
          <t>例：過去50件、総務2名、サンドボックス環境</t>
        </is>
      </c>
      <c r="G30" s="35" t="inlineStr">
        <is>
          <t>□ Designのテストセットと差分が分かる</t>
        </is>
      </c>
      <c r="H30" s="57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 ht="30.75" customHeight="1">
      <c r="A31" s="77" t="n"/>
      <c r="B31" s="28" t="inlineStr">
        <is>
          <t>実施後</t>
        </is>
      </c>
      <c r="C31" s="33" t="inlineStr">
        <is>
          <t>実測結果</t>
        </is>
      </c>
      <c r="D31" s="34" t="inlineStr">
        <is>
          <t>成功基準に対する実測値を書く</t>
        </is>
      </c>
      <c r="E31" s="57" t="inlineStr">
        <is>
          <t>承認率91%（基準90%）、金額誤り0件、平均作成時間3分／件、コスト約9円／件
参照：PoC結果報告書_v1.0</t>
        </is>
      </c>
      <c r="F31" s="34" t="inlineStr">
        <is>
          <t>例：採用率68%、根拠一致率82%、平均45秒、1件12円</t>
        </is>
      </c>
      <c r="G31" s="35" t="inlineStr">
        <is>
          <t>□ 基準値 / 実測値 / 差分で判断できる</t>
        </is>
      </c>
      <c r="H31" s="57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 ht="30.75" customHeight="1">
      <c r="A32" s="77" t="n"/>
      <c r="B32" s="28" t="inlineStr">
        <is>
          <t>実施後</t>
        </is>
      </c>
      <c r="C32" s="33" t="inlineStr">
        <is>
          <t>安全性・重大NG</t>
        </is>
      </c>
      <c r="D32" s="34" t="inlineStr">
        <is>
          <t>漏えい・権限逸脱・重大誤回答の件数を書く</t>
        </is>
      </c>
      <c r="E32" s="57" t="inlineStr">
        <is>
          <t>漏えい0件、権限逸脱0件、重大誤り0件
参照：セキュリティチェック結果</t>
        </is>
      </c>
      <c r="F32" s="34" t="inlineStr">
        <is>
          <t>例：漏えい0、権限逸脱0、重大誤回答1</t>
        </is>
      </c>
      <c r="G32" s="35" t="inlineStr">
        <is>
          <t>□ 足切り条件への抵触が分かる</t>
        </is>
      </c>
      <c r="H32" s="57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 ht="30.75" customHeight="1">
      <c r="A33" s="77" t="n"/>
      <c r="B33" s="28" t="inlineStr">
        <is>
          <t>実施後</t>
        </is>
      </c>
      <c r="C33" s="33" t="inlineStr">
        <is>
          <t>失敗パターン</t>
        </is>
      </c>
      <c r="D33" s="34" t="inlineStr">
        <is>
          <t>何が何件失敗したか、影響を書く</t>
        </is>
      </c>
      <c r="E33" s="57" t="inlineStr">
        <is>
          <t>納期逼迫案件の要確認が5件、特別仕様の表記ゆれが7件
参照：失敗パターン一覧</t>
        </is>
      </c>
      <c r="F33" s="34" t="inlineStr">
        <is>
          <t>例：規程改定日の古い回答が6件、根拠なし回答が3件</t>
        </is>
      </c>
      <c r="G33" s="35" t="inlineStr">
        <is>
          <t>□ 失敗が件数と影響で見える</t>
        </is>
      </c>
      <c r="H33" s="57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 ht="30.75" customHeight="1">
      <c r="A34" s="77" t="n"/>
      <c r="B34" s="28" t="inlineStr">
        <is>
          <t>実施後</t>
        </is>
      </c>
      <c r="C34" s="33" t="inlineStr">
        <is>
          <t>原因仮説</t>
        </is>
      </c>
      <c r="D34" s="34" t="inlineStr">
        <is>
          <t>失敗原因を層で切り分ける</t>
        </is>
      </c>
      <c r="E34" s="57" t="inlineStr">
        <is>
          <t>生産計画データの更新タイミング遅延／特別仕様のプロンプト不足
参照：原因分析メモ</t>
        </is>
      </c>
      <c r="F34" s="34" t="inlineStr">
        <is>
          <t>例：データ鮮度 / プロンプト / RAG / 業務ルール / UI</t>
        </is>
      </c>
      <c r="G34" s="35" t="inlineStr">
        <is>
          <t>□ Pivot時に直す対象が明確</t>
        </is>
      </c>
      <c r="H34" s="57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 ht="30.75" customHeight="1">
      <c r="A35" s="78" t="n"/>
      <c r="B35" s="28" t="inlineStr">
        <is>
          <t>実施後</t>
        </is>
      </c>
      <c r="C35" s="33" t="inlineStr">
        <is>
          <t>改善バックログ</t>
        </is>
      </c>
      <c r="D35" s="34" t="inlineStr">
        <is>
          <t>次に直す項目、優先順位、再検証日を書く</t>
        </is>
      </c>
      <c r="E35" s="57" t="inlineStr">
        <is>
          <t>生産計画データ連携頻度の見直し、特別仕様辞書の追加、7/24に再検証
参照：改善バックログ_v1.0</t>
        </is>
      </c>
      <c r="F35" s="34" t="inlineStr">
        <is>
          <t>例：FAQ更新、チャンク再設計、5/8に再検証</t>
        </is>
      </c>
      <c r="G35" s="35" t="inlineStr">
        <is>
          <t>□ 改善後の再判定に進める</t>
        </is>
      </c>
      <c r="H35" s="57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 ht="24.75" customHeight="1">
      <c r="A36" s="31" t="inlineStr">
        <is>
          <t>判断</t>
        </is>
      </c>
      <c r="B36" s="31" t="inlineStr">
        <is>
          <t>判定</t>
        </is>
      </c>
      <c r="C36" s="33" t="inlineStr">
        <is>
          <t>Step判断</t>
        </is>
      </c>
      <c r="D36" s="34" t="inlineStr">
        <is>
          <t>Go / Pivot / No-Goを選ぶ</t>
        </is>
      </c>
      <c r="E36" s="32" t="inlineStr">
        <is>
          <t>Go：必須ゲートを満たし、納期逼迫案件は人の確認運用でカバーできるため</t>
        </is>
      </c>
      <c r="F36" s="34" t="inlineStr">
        <is>
          <t>Go＝次へ / Pivot＝不足を直す / No-Go＝テーマ再考</t>
        </is>
      </c>
      <c r="G36" s="31" t="inlineStr">
        <is>
          <t>責任者</t>
        </is>
      </c>
      <c r="H36" s="57" t="inlineStr">
        <is>
          <t>責任者：営業マネージャー</t>
        </is>
      </c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 ht="30.75" customHeight="1">
      <c r="A37" s="52" t="inlineStr">
        <is>
          <t>5 Deployment &amp; Scale / 展開・定着</t>
        </is>
      </c>
      <c r="B37" s="28" t="inlineStr">
        <is>
          <t>展開前</t>
        </is>
      </c>
      <c r="C37" s="33" t="inlineStr">
        <is>
          <t>展開範囲</t>
        </is>
      </c>
      <c r="D37" s="34" t="inlineStr">
        <is>
          <t>最初に使うチーム・人数を書く</t>
        </is>
      </c>
      <c r="E37" s="57" t="inlineStr">
        <is>
          <t>営業チーム5名・標準受注品150件から開始
参照：展開計画_v1.0</t>
        </is>
      </c>
      <c r="F37" s="34" t="inlineStr">
        <is>
          <t>例：総務チーム5名から開始</t>
        </is>
      </c>
      <c r="G37" s="35" t="inlineStr">
        <is>
          <t>□ 小さく本番化できる</t>
        </is>
      </c>
      <c r="H37" s="57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 ht="30.75" customHeight="1">
      <c r="A38" s="77" t="n"/>
      <c r="B38" s="28" t="inlineStr">
        <is>
          <t>展開前</t>
        </is>
      </c>
      <c r="C38" s="33" t="inlineStr">
        <is>
          <t>運用責任</t>
        </is>
      </c>
      <c r="D38" s="34" t="inlineStr">
        <is>
          <t>問い合わせ・障害・改善の責任者を書く</t>
        </is>
      </c>
      <c r="E38" s="57" t="inlineStr">
        <is>
          <t>業務責任は営業マネージャー、技術窓口は情報システム部
参照：運用体制表</t>
        </is>
      </c>
      <c r="F38" s="34" t="inlineStr">
        <is>
          <t>例：総務リーダー、技術窓口は情シス</t>
        </is>
      </c>
      <c r="G38" s="35" t="inlineStr">
        <is>
          <t>□ 責任者が未定ではない</t>
        </is>
      </c>
      <c r="H38" s="57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 ht="30.75" customHeight="1">
      <c r="A39" s="77" t="n"/>
      <c r="B39" s="28" t="inlineStr">
        <is>
          <t>展開前</t>
        </is>
      </c>
      <c r="C39" s="33" t="inlineStr">
        <is>
          <t>利用者説明</t>
        </is>
      </c>
      <c r="D39" s="34" t="inlineStr">
        <is>
          <t>利用者に伝えること、研修の方法を書く</t>
        </is>
      </c>
      <c r="E39" s="57" t="inlineStr">
        <is>
          <t>60分の説明会＋操作手順書を配布。例外時のエスカレーション先を明記
参照：利用者向けガイド_v1.0</t>
        </is>
      </c>
      <c r="F39" s="34" t="inlineStr">
        <is>
          <t>例：30分説明会、使ってよい質問例を配布</t>
        </is>
      </c>
      <c r="G39" s="35" t="inlineStr">
        <is>
          <t>□ 利用前の説明がある</t>
        </is>
      </c>
      <c r="H39" s="57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 ht="30.75" customHeight="1">
      <c r="A40" s="77" t="n"/>
      <c r="B40" s="28" t="inlineStr">
        <is>
          <t>展開後</t>
        </is>
      </c>
      <c r="C40" s="33" t="inlineStr">
        <is>
          <t>定着KPI</t>
        </is>
      </c>
      <c r="D40" s="34" t="inlineStr">
        <is>
          <t>使われているか、成果が出ているかの指標を書く</t>
        </is>
      </c>
      <c r="E40" s="57" t="inlineStr">
        <is>
          <t>AI下書き利用率、1件あたり作成時間、差戻し率、金額・納期誤り件数を月次で計測
参照：KPI定義書</t>
        </is>
      </c>
      <c r="F40" s="34" t="inlineStr">
        <is>
          <t>例：週利用件数、回答時間、差し戻し率</t>
        </is>
      </c>
      <c r="G40" s="35" t="inlineStr">
        <is>
          <t>□ 利用回数だけでなく業務成果も見る</t>
        </is>
      </c>
      <c r="H40" s="57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 ht="30.75" customHeight="1">
      <c r="A41" s="78" t="n"/>
      <c r="B41" s="28" t="inlineStr">
        <is>
          <t>展開後</t>
        </is>
      </c>
      <c r="C41" s="33" t="inlineStr">
        <is>
          <t>改善サイクル</t>
        </is>
      </c>
      <c r="D41" s="34" t="inlineStr">
        <is>
          <t>要望を集め、いつ見直すかを書く</t>
        </is>
      </c>
      <c r="E41" s="57" t="inlineStr">
        <is>
          <t>月次締め処理後にKPIとログをレビューし、改善会議を実施
参照：運用カレンダー</t>
        </is>
      </c>
      <c r="F41" s="34" t="inlineStr">
        <is>
          <t>例：2週間ごとにKPIとログをレビュー</t>
        </is>
      </c>
      <c r="G41" s="35" t="inlineStr">
        <is>
          <t>□ 改善会議が予定化されている</t>
        </is>
      </c>
      <c r="H41" s="57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 ht="24.75" customHeight="1">
      <c r="A42" s="31" t="inlineStr">
        <is>
          <t>判断</t>
        </is>
      </c>
      <c r="B42" s="31" t="inlineStr">
        <is>
          <t>判定</t>
        </is>
      </c>
      <c r="C42" s="33" t="inlineStr">
        <is>
          <t>Step判断</t>
        </is>
      </c>
      <c r="D42" s="34" t="inlineStr">
        <is>
          <t>Go / Pivot / No-Goを選ぶ</t>
        </is>
      </c>
      <c r="E42" s="32" t="inlineStr">
        <is>
          <t>Go：小規模本番で開始し、3か月後に特注品への拡大を判断</t>
        </is>
      </c>
      <c r="F42" s="34" t="inlineStr">
        <is>
          <t>Go＝次へ / Pivot＝不足を直す / No-Go＝テーマ再考</t>
        </is>
      </c>
      <c r="G42" s="31" t="inlineStr">
        <is>
          <t>責任者</t>
        </is>
      </c>
      <c r="H42" s="57" t="inlineStr">
        <is>
          <t>責任者：営業マネージャー</t>
        </is>
      </c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 ht="14.25" customHeight="1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 ht="21.75" customHeight="1">
      <c r="A44" s="36" t="inlineStr">
        <is>
          <t>Go</t>
        </is>
      </c>
      <c r="B44" s="79" t="inlineStr">
        <is>
          <t>必須ゲートを満たしており、次のStepへ進める状態。</t>
        </is>
      </c>
      <c r="C44" s="80" t="n"/>
      <c r="D44" s="80" t="n"/>
      <c r="E44" s="80" t="n"/>
      <c r="F44" s="80" t="n"/>
      <c r="G44" s="80" t="n"/>
      <c r="H44" s="81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 ht="25.5" customHeight="1">
      <c r="A45" s="37" t="inlineStr">
        <is>
          <t>Pivot</t>
        </is>
      </c>
      <c r="B45" s="79" t="inlineStr">
        <is>
          <t>不足点や未達原因が特定できており、修正後に再判定できる状態。失敗ではなく、学習結果として扱う。</t>
        </is>
      </c>
      <c r="C45" s="80" t="n"/>
      <c r="D45" s="80" t="n"/>
      <c r="E45" s="80" t="n"/>
      <c r="F45" s="80" t="n"/>
      <c r="G45" s="80" t="n"/>
      <c r="H45" s="81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 ht="25.5" customHeight="1">
      <c r="A46" s="38" t="inlineStr">
        <is>
          <t>No-Go</t>
        </is>
      </c>
      <c r="B46" s="79" t="inlineStr">
        <is>
          <t>安全性・事業性・データ利用・運用責任などの前提が崩れており、テーマや対象範囲を見直す状態。</t>
        </is>
      </c>
      <c r="C46" s="80" t="n"/>
      <c r="D46" s="80" t="n"/>
      <c r="E46" s="80" t="n"/>
      <c r="F46" s="80" t="n"/>
      <c r="G46" s="80" t="n"/>
      <c r="H46" s="81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 ht="14.25" customHeight="1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 ht="14.2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 ht="14.25" customHeight="1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 ht="14.25" customHeight="1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 ht="14.2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 ht="14.25" customHeight="1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 ht="14.25" customHeight="1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 ht="14.2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 ht="14.25" customHeight="1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 ht="14.25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 ht="14.25" customHeight="1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 ht="14.2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 ht="14.25" customHeight="1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 ht="14.25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 ht="14.2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 ht="14.25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 ht="14.25" customHeight="1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 ht="14.25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 ht="14.25" customHeight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 ht="14.2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 ht="14.25" customHeight="1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 ht="14.25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 ht="14.25" customHeight="1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 ht="14.25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 ht="14.25" customHeight="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 ht="14.25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 ht="14.2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 ht="14.25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 ht="14.25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 ht="14.25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 ht="14.25" customHeight="1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 ht="14.25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 ht="14.25" customHeight="1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 ht="14.2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 ht="14.25" customHeight="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 ht="14.2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 ht="14.2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 ht="14.2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 ht="14.2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 ht="14.2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 ht="14.2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 ht="14.2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 ht="14.2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 ht="14.2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 ht="14.2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 ht="14.2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 ht="14.2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 ht="14.2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 ht="14.2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 ht="14.2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 ht="14.2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 ht="14.2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 ht="14.2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 ht="14.2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 ht="14.2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 ht="14.2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 ht="14.2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 ht="14.2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 ht="14.2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 ht="14.2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 ht="14.2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 ht="14.2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 ht="14.2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 ht="14.2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 ht="14.2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 ht="14.2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 ht="14.2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 ht="14.2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 ht="14.2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 ht="14.2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 ht="14.2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 ht="14.2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 ht="14.2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 ht="14.2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  <row r="121" ht="14.2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</row>
    <row r="122" ht="14.2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</row>
    <row r="123" ht="14.2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</row>
    <row r="124" ht="14.2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</row>
    <row r="125" ht="14.2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</row>
    <row r="126" ht="14.2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</row>
    <row r="127" ht="14.2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</row>
    <row r="128" ht="14.2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</row>
    <row r="129" ht="14.2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</row>
    <row r="130" ht="14.2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</row>
    <row r="131" ht="14.2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</row>
    <row r="132" ht="14.2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</row>
    <row r="133" ht="14.2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</row>
    <row r="134" ht="14.2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</row>
    <row r="135" ht="14.2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</row>
    <row r="136" ht="14.2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</row>
    <row r="137" ht="14.2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</row>
    <row r="138" ht="14.2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</row>
    <row r="139" ht="14.2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</row>
    <row r="140" ht="14.2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</row>
    <row r="141" ht="14.2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</row>
    <row r="142" ht="14.2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</row>
    <row r="143" ht="14.2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</row>
    <row r="144" ht="14.2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</row>
    <row r="145" ht="14.2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</row>
    <row r="146" ht="14.2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</row>
    <row r="147" ht="14.2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</row>
    <row r="148" ht="14.2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</row>
    <row r="149" ht="14.2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</row>
    <row r="150" ht="14.2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</row>
    <row r="151" ht="14.2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</row>
    <row r="152" ht="14.2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</row>
    <row r="153" ht="14.2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</row>
    <row r="154" ht="14.2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</row>
    <row r="155" ht="14.2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</row>
    <row r="156" ht="14.2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</row>
    <row r="157" ht="14.2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</row>
    <row r="158" ht="14.2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</row>
    <row r="159" ht="14.2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</row>
    <row r="160" ht="14.2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</row>
    <row r="161" ht="14.2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</row>
    <row r="162" ht="14.2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</row>
    <row r="163" ht="14.2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</row>
    <row r="164" ht="14.2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</row>
    <row r="165" ht="14.2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</row>
    <row r="166" ht="14.2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</row>
    <row r="167" ht="14.2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</row>
    <row r="168" ht="14.2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</row>
    <row r="169" ht="14.2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</row>
    <row r="170" ht="14.2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</row>
    <row r="171" ht="14.2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</row>
    <row r="172" ht="14.2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</row>
    <row r="173" ht="14.2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</row>
    <row r="174" ht="14.2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</row>
    <row r="175" ht="14.2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</row>
    <row r="176" ht="14.2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</row>
    <row r="177" ht="14.2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</row>
    <row r="178" ht="14.2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</row>
    <row r="179" ht="14.2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</row>
    <row r="180" ht="14.2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</row>
    <row r="181" ht="14.2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</row>
    <row r="182" ht="14.2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</row>
    <row r="183" ht="14.2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</row>
    <row r="184" ht="14.2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</row>
    <row r="185" ht="14.2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</row>
    <row r="186" ht="14.2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</row>
    <row r="187" ht="14.2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</row>
    <row r="188" ht="14.2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</row>
    <row r="189" ht="14.2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</row>
    <row r="190" ht="14.2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</row>
    <row r="191" ht="14.2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</row>
    <row r="192" ht="14.2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</row>
    <row r="193" ht="14.2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</row>
    <row r="194" ht="14.2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</row>
    <row r="195" ht="14.2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</row>
    <row r="196" ht="14.2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</row>
    <row r="197" ht="14.2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</row>
    <row r="198" ht="14.2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</row>
    <row r="199" ht="14.2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</row>
    <row r="200" ht="14.2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</row>
    <row r="201" ht="14.2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</row>
    <row r="202" ht="14.2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</row>
    <row r="203" ht="14.2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</row>
    <row r="204" ht="14.2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</row>
    <row r="205" ht="14.2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</row>
    <row r="206" ht="14.2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</row>
    <row r="207" ht="14.2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</row>
    <row r="208" ht="14.2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</row>
    <row r="209" ht="14.2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</row>
    <row r="210" ht="14.2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</row>
    <row r="211" ht="14.2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</row>
    <row r="212" ht="14.2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</row>
    <row r="213" ht="14.2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</row>
    <row r="214" ht="14.2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</row>
    <row r="215" ht="14.2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</row>
    <row r="216" ht="14.2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</row>
    <row r="217" ht="14.2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</row>
    <row r="218" ht="14.2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</row>
    <row r="219" ht="14.2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</row>
    <row r="220" ht="14.2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</row>
    <row r="221" ht="14.2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</row>
    <row r="222" ht="14.2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</row>
    <row r="223" ht="14.2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</row>
    <row r="224" ht="14.2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</row>
    <row r="225" ht="14.2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</row>
    <row r="226" ht="14.2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</row>
    <row r="227" ht="14.2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</row>
    <row r="228" ht="14.2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</row>
    <row r="229" ht="14.2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</row>
    <row r="230" ht="14.2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</row>
    <row r="231" ht="14.2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</row>
    <row r="232" ht="14.2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</row>
    <row r="233" ht="14.2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</row>
    <row r="234" ht="14.2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</row>
    <row r="235" ht="14.2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</row>
    <row r="236" ht="14.2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</row>
    <row r="237" ht="14.2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</row>
    <row r="238" ht="14.2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</row>
    <row r="239" ht="14.2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</row>
    <row r="240" ht="14.2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</row>
    <row r="241" ht="14.2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</row>
    <row r="242" ht="14.2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</row>
    <row r="243" ht="14.2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</row>
    <row r="244" ht="14.2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</row>
    <row r="245" ht="14.2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</row>
    <row r="246" ht="14.2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</row>
    <row r="247" ht="12.75" customHeight="1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2.75" customHeight="1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2.75" customHeight="1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2.75" customHeight="1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2.75" customHeight="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2.75" customHeight="1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2.75" customHeight="1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2.75" customHeight="1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2.75" customHeight="1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2.75" customHeight="1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2.75" customHeight="1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2.75" customHeight="1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2.75" customHeight="1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2.75" customHeight="1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2.75" customHeight="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2.75" customHeight="1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2.75" customHeight="1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2.75" customHeight="1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2.75" customHeight="1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2.75" customHeight="1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2.75" customHeight="1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2.75" customHeight="1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2.75" customHeight="1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2.75" customHeight="1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2.75" customHeight="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2.75" customHeight="1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2.75" customHeight="1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2.75" customHeight="1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2.75" customHeight="1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2.75" customHeight="1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2.75" customHeight="1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2.75" customHeight="1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2.75" customHeight="1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2.75" customHeight="1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2.75" customHeight="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2.75" customHeight="1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2.75" customHeight="1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2.75" customHeight="1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2.75" customHeight="1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2.75" customHeight="1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2.75" customHeight="1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2.75" customHeight="1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2.75" customHeight="1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2.75" customHeight="1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2.75" customHeight="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2.75" customHeight="1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2.75" customHeight="1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2.75" customHeight="1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2.75" customHeight="1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2.75" customHeight="1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2.75" customHeight="1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2.75" customHeight="1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2.75" customHeight="1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2.75" customHeight="1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2.75" customHeight="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2.75" customHeight="1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2.75" customHeight="1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2.75" customHeight="1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2.75" customHeight="1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2.75" customHeight="1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2.75" customHeight="1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2.75" customHeight="1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2.75" customHeight="1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2.75" customHeight="1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2.75" customHeight="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2.75" customHeight="1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2.75" customHeight="1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2.75" customHeight="1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2.75" customHeight="1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2.75" customHeight="1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2.75" customHeight="1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2.75" customHeight="1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2.75" customHeight="1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2.75" customHeight="1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2.75" customHeight="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2.75" customHeight="1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2.75" customHeight="1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2.75" customHeight="1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2.75" customHeight="1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2.75" customHeight="1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2.75" customHeight="1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2.75" customHeight="1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2.75" customHeight="1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2.75" customHeight="1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2.75" customHeight="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2.75" customHeight="1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2.75" customHeight="1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2.75" customHeight="1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2.75" customHeight="1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2.75" customHeight="1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2.75" customHeight="1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2.75" customHeight="1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2.75" customHeight="1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2.75" customHeight="1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2.75" customHeight="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2.75" customHeight="1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2.75" customHeight="1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2.75" customHeight="1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2.75" customHeight="1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2.75" customHeight="1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2.75" customHeight="1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2.75" customHeight="1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2.75" customHeight="1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2.75" customHeight="1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2.75" customHeight="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2.75" customHeight="1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2.75" customHeight="1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2.75" customHeight="1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2.75" customHeight="1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2.75" customHeight="1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2.75" customHeight="1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2.75" customHeight="1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2.75" customHeight="1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2.75" customHeight="1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2.75" customHeight="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2.75" customHeight="1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2.75" customHeight="1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2.75" customHeight="1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2.75" customHeight="1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2.75" customHeight="1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2.75" customHeight="1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2.75" customHeight="1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2.75" customHeight="1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2.75" customHeight="1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2.75" customHeight="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2.75" customHeight="1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2.75" customHeight="1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2.75" customHeight="1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2.75" customHeight="1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2.75" customHeight="1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2.75" customHeight="1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2.75" customHeight="1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2.75" customHeight="1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2.75" customHeight="1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2.75" customHeight="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2.75" customHeight="1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2.75" customHeight="1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2.75" customHeight="1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2.75" customHeight="1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2.75" customHeight="1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2.75" customHeight="1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2.75" customHeight="1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2.75" customHeight="1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2.75" customHeight="1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2.75" customHeight="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2.75" customHeight="1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2.75" customHeight="1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2.75" customHeight="1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2.75" customHeight="1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2.75" customHeight="1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2.75" customHeight="1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2.75" customHeight="1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2.75" customHeight="1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2.75" customHeight="1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2.75" customHeight="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2.75" customHeight="1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2.75" customHeight="1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2.75" customHeight="1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2.75" customHeight="1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2.75" customHeight="1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2.75" customHeight="1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2.75" customHeight="1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2.75" customHeight="1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2.75" customHeight="1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2.75" customHeight="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2.75" customHeight="1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2.75" customHeight="1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2.75" customHeight="1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2.75" customHeight="1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2.75" customHeight="1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2.75" customHeight="1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2.75" customHeight="1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2.75" customHeight="1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2.75" customHeight="1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2.75" customHeight="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2.75" customHeight="1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2.75" customHeight="1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2.75" customHeight="1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2.75" customHeight="1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2.75" customHeight="1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2.75" customHeight="1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2.75" customHeight="1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2.75" customHeight="1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2.75" customHeight="1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2.75" customHeight="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2.75" customHeight="1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2.75" customHeight="1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2.75" customHeight="1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2.75" customHeight="1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2.75" customHeight="1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2.75" customHeight="1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2.75" customHeight="1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2.75" customHeight="1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2.75" customHeight="1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2.75" customHeight="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2.75" customHeight="1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2.75" customHeight="1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2.75" customHeight="1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2.75" customHeight="1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2.75" customHeight="1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2.75" customHeight="1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2.75" customHeight="1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2.75" customHeight="1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2.75" customHeight="1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2.75" customHeight="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2.75" customHeight="1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2.75" customHeight="1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2.75" customHeight="1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2.75" customHeight="1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2.75" customHeight="1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2.75" customHeight="1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2.75" customHeight="1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2.75" customHeight="1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2.75" customHeight="1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2.75" customHeight="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2.75" customHeight="1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2.75" customHeight="1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2.75" customHeight="1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2.75" customHeight="1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2.75" customHeight="1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2.75" customHeight="1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2.75" customHeight="1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2.75" customHeight="1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2.75" customHeight="1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2.75" customHeight="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2.75" customHeight="1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2.75" customHeight="1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2.75" customHeight="1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2.75" customHeight="1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2.75" customHeight="1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2.75" customHeight="1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2.75" customHeight="1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2.75" customHeight="1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2.75" customHeight="1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2.75" customHeight="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2.75" customHeight="1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2.75" customHeight="1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2.75" customHeight="1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2.75" customHeight="1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2.75" customHeight="1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2.75" customHeight="1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2.75" customHeight="1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2.75" customHeight="1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2.75" customHeight="1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2.75" customHeight="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2.75" customHeight="1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2.75" customHeight="1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2.75" customHeight="1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2.75" customHeight="1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2.75" customHeight="1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2.75" customHeight="1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2.75" customHeight="1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2.75" customHeight="1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2.75" customHeight="1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2.75" customHeight="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2.75" customHeight="1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2.75" customHeight="1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2.75" customHeight="1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2.75" customHeight="1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2.75" customHeight="1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2.75" customHeight="1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2.75" customHeight="1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2.75" customHeight="1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2.75" customHeight="1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2.75" customHeight="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2.75" customHeight="1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2.75" customHeight="1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2.75" customHeight="1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2.75" customHeight="1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2.75" customHeight="1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2.75" customHeight="1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2.75" customHeight="1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2.75" customHeight="1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2.75" customHeight="1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2.75" customHeight="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2.75" customHeight="1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2.75" customHeight="1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2.75" customHeight="1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2.75" customHeight="1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2.75" customHeight="1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2.75" customHeight="1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2.75" customHeight="1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2.75" customHeight="1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2.75" customHeight="1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2.75" customHeight="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2.75" customHeight="1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2.75" customHeight="1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2.75" customHeight="1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2.75" customHeight="1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2.75" customHeight="1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2.75" customHeight="1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2.75" customHeight="1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2.75" customHeight="1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2.75" customHeight="1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2.75" customHeight="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2.75" customHeight="1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2.75" customHeight="1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2.75" customHeight="1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2.75" customHeight="1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2.75" customHeight="1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2.75" customHeight="1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2.75" customHeight="1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2.75" customHeight="1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2.75" customHeight="1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2.75" customHeight="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2.75" customHeight="1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2.75" customHeight="1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2.75" customHeight="1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2.75" customHeight="1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2.75" customHeight="1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2.75" customHeight="1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2.75" customHeight="1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2.75" customHeight="1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2.75" customHeight="1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2.75" customHeight="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2.75" customHeight="1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2.75" customHeight="1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2.75" customHeight="1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2.75" customHeight="1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2.75" customHeight="1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2.75" customHeight="1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2.75" customHeight="1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2.75" customHeight="1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2.75" customHeight="1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2.75" customHeight="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2.75" customHeight="1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2.75" customHeight="1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2.75" customHeight="1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2.75" customHeight="1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2.75" customHeight="1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2.75" customHeight="1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2.75" customHeight="1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2.75" customHeight="1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2.75" customHeight="1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2.75" customHeight="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2.75" customHeight="1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2.75" customHeight="1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2.75" customHeight="1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2.75" customHeight="1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2.75" customHeight="1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2.75" customHeight="1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2.75" customHeight="1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2.75" customHeight="1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2.75" customHeight="1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2.75" customHeight="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2.75" customHeight="1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2.75" customHeight="1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2.75" customHeight="1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2.75" customHeight="1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2.75" customHeight="1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2.75" customHeight="1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2.75" customHeight="1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2.75" customHeight="1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2.75" customHeight="1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2.75" customHeight="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2.75" customHeight="1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2.75" customHeight="1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2.75" customHeight="1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2.75" customHeight="1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2.75" customHeight="1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2.75" customHeight="1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2.75" customHeight="1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2.75" customHeight="1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2.75" customHeight="1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2.75" customHeight="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2.75" customHeight="1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2.75" customHeight="1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2.75" customHeight="1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2.75" customHeight="1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2.75" customHeight="1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2.75" customHeight="1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2.75" customHeight="1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2.75" customHeight="1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2.75" customHeight="1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2.75" customHeight="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2.75" customHeight="1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2.75" customHeight="1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2.75" customHeight="1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2.75" customHeight="1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2.75" customHeight="1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2.75" customHeight="1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2.75" customHeight="1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2.75" customHeight="1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2.75" customHeight="1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2.75" customHeight="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2.75" customHeight="1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2.75" customHeight="1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2.75" customHeight="1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2.75" customHeight="1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2.75" customHeight="1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2.75" customHeight="1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2.75" customHeight="1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2.75" customHeight="1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2.75" customHeight="1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2.75" customHeight="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2.75" customHeight="1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2.75" customHeight="1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2.75" customHeight="1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2.75" customHeight="1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2.75" customHeight="1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2.75" customHeight="1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2.75" customHeight="1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2.75" customHeight="1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2.75" customHeight="1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2.75" customHeight="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2.75" customHeight="1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2.75" customHeight="1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2.75" customHeight="1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2.75" customHeight="1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2.75" customHeight="1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2.75" customHeight="1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2.75" customHeight="1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2.75" customHeight="1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2.75" customHeight="1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2.75" customHeight="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2.75" customHeight="1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2.75" customHeight="1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2.75" customHeight="1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2.75" customHeight="1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2.75" customHeight="1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2.75" customHeight="1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2.75" customHeight="1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2.75" customHeight="1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2.75" customHeight="1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2.75" customHeight="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2.75" customHeight="1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2.75" customHeight="1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2.75" customHeight="1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2.75" customHeight="1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2.75" customHeight="1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2.75" customHeight="1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2.75" customHeight="1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2.75" customHeight="1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2.75" customHeight="1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2.75" customHeight="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2.75" customHeight="1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2.75" customHeight="1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2.75" customHeight="1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2.75" customHeight="1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2.75" customHeight="1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2.75" customHeight="1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2.75" customHeight="1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2.75" customHeight="1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2.75" customHeight="1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2.75" customHeight="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2.75" customHeight="1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2.75" customHeight="1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2.75" customHeight="1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2.75" customHeight="1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2.75" customHeight="1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2.75" customHeight="1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2.75" customHeight="1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2.75" customHeight="1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2.75" customHeight="1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2.75" customHeight="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2.75" customHeight="1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2.75" customHeight="1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2.75" customHeight="1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2.75" customHeight="1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2.75" customHeight="1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2.75" customHeight="1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2.75" customHeight="1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2.75" customHeight="1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2.75" customHeight="1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2.75" customHeight="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2.75" customHeight="1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2.75" customHeight="1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2.75" customHeight="1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2.75" customHeight="1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2.75" customHeight="1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2.75" customHeight="1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2.75" customHeight="1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2.75" customHeight="1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2.75" customHeight="1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2.75" customHeight="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2.75" customHeight="1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2.75" customHeight="1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2.75" customHeight="1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2.75" customHeight="1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2.75" customHeight="1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2.75" customHeight="1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2.75" customHeight="1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2.75" customHeight="1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2.75" customHeight="1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2.75" customHeight="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2.75" customHeight="1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2.75" customHeight="1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2.75" customHeight="1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2.75" customHeight="1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2.75" customHeight="1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2.75" customHeight="1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2.75" customHeight="1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2.75" customHeight="1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2.75" customHeight="1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2.75" customHeight="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2.75" customHeight="1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2.75" customHeight="1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2.75" customHeight="1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2.75" customHeight="1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2.75" customHeight="1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2.75" customHeight="1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2.75" customHeight="1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2.75" customHeight="1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2.75" customHeight="1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2.75" customHeight="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2.75" customHeight="1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2.75" customHeight="1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2.75" customHeight="1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2.75" customHeight="1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2.75" customHeight="1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2.75" customHeight="1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2.75" customHeight="1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2.75" customHeight="1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2.75" customHeight="1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2.75" customHeight="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2.75" customHeight="1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2.75" customHeight="1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2.75" customHeight="1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2.75" customHeight="1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2.75" customHeight="1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2.75" customHeight="1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2.75" customHeight="1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2.75" customHeight="1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2.75" customHeight="1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2.75" customHeight="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2.75" customHeight="1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2.75" customHeight="1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2.75" customHeight="1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2.75" customHeight="1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2.75" customHeight="1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2.75" customHeight="1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2.75" customHeight="1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2.75" customHeight="1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2.75" customHeight="1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2.75" customHeight="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2.75" customHeight="1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2.75" customHeight="1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2.75" customHeight="1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2.75" customHeight="1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2.75" customHeight="1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2.75" customHeight="1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2.75" customHeight="1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2.75" customHeight="1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2.75" customHeight="1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2.75" customHeight="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2.75" customHeight="1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2.75" customHeight="1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2.75" customHeight="1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2.75" customHeight="1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2.75" customHeight="1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2.75" customHeight="1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2.75" customHeight="1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2.75" customHeight="1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2.75" customHeight="1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2.75" customHeight="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2.75" customHeight="1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2.75" customHeight="1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2.75" customHeight="1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2.75" customHeight="1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2.75" customHeight="1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2.75" customHeight="1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2.75" customHeight="1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2.75" customHeight="1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2.75" customHeight="1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2.75" customHeight="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2.75" customHeight="1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2.75" customHeight="1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2.75" customHeight="1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2.75" customHeight="1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2.75" customHeight="1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2.75" customHeight="1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2.75" customHeight="1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2.75" customHeight="1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2.75" customHeight="1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2.75" customHeight="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2.75" customHeight="1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2.75" customHeight="1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2.75" customHeight="1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2.75" customHeight="1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2.75" customHeight="1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2.75" customHeight="1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2.75" customHeight="1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2.75" customHeight="1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2.75" customHeight="1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2.75" customHeight="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2.75" customHeight="1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2.75" customHeight="1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2.75" customHeight="1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2.75" customHeight="1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2.75" customHeight="1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2.75" customHeight="1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2.75" customHeight="1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2.75" customHeight="1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2.75" customHeight="1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2.75" customHeight="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2.75" customHeight="1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2.75" customHeight="1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2.75" customHeight="1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2.75" customHeight="1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2.75" customHeight="1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2.75" customHeight="1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2.75" customHeight="1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2.75" customHeight="1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2.75" customHeight="1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2.75" customHeight="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2.75" customHeight="1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2.75" customHeight="1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2.75" customHeight="1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2.75" customHeight="1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2.75" customHeight="1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2.75" customHeight="1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2.75" customHeight="1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2.75" customHeight="1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2.75" customHeight="1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2.75" customHeight="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2.75" customHeight="1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2.75" customHeight="1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2.75" customHeight="1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2.75" customHeight="1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2.75" customHeight="1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2.75" customHeight="1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2.75" customHeight="1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2.75" customHeight="1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2.75" customHeight="1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2.75" customHeight="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2.75" customHeight="1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2.75" customHeight="1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2.75" customHeight="1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2.75" customHeight="1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2.75" customHeight="1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2.75" customHeight="1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2.75" customHeight="1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2.75" customHeight="1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2.75" customHeight="1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2.75" customHeight="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2.75" customHeight="1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2.75" customHeight="1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2.75" customHeight="1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2.75" customHeight="1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2.75" customHeight="1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2.75" customHeight="1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2.75" customHeight="1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2.75" customHeight="1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2.75" customHeight="1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2.75" customHeight="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2.75" customHeight="1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2.75" customHeight="1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2.75" customHeight="1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2.75" customHeight="1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2.75" customHeight="1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2.75" customHeight="1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2.75" customHeight="1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2.75" customHeight="1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2.75" customHeight="1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2.75" customHeight="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2.75" customHeight="1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2.75" customHeight="1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2.75" customHeight="1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2.75" customHeight="1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2.75" customHeight="1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2.75" customHeight="1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2.75" customHeight="1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2.75" customHeight="1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2.75" customHeight="1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2.75" customHeight="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2.75" customHeight="1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2.75" customHeight="1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2.75" customHeight="1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2.75" customHeight="1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2.75" customHeight="1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2.75" customHeight="1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2.75" customHeight="1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2.75" customHeight="1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2.75" customHeight="1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2.75" customHeight="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2.75" customHeight="1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2.75" customHeight="1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2.75" customHeight="1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2.75" customHeight="1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2.75" customHeight="1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2.75" customHeight="1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2.75" customHeight="1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2.75" customHeight="1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2.75" customHeight="1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2.75" customHeight="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2.75" customHeight="1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2.75" customHeight="1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2.75" customHeight="1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2.75" customHeight="1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2.75" customHeight="1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2.75" customHeight="1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2.75" customHeight="1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2.75" customHeight="1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2.75" customHeight="1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2.75" customHeight="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2.75" customHeight="1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2.75" customHeight="1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2.75" customHeight="1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2.75" customHeight="1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2.75" customHeight="1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2.75" customHeight="1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2.75" customHeight="1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2.75" customHeight="1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2.75" customHeight="1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2.75" customHeight="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2.75" customHeight="1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2.75" customHeight="1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2.75" customHeight="1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2.75" customHeight="1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2.75" customHeight="1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2.75" customHeight="1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2.75" customHeight="1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2.75" customHeight="1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2.75" customHeight="1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2.75" customHeight="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2.75" customHeight="1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2.75" customHeight="1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2.75" customHeight="1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2.75" customHeight="1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2.75" customHeight="1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2.75" customHeight="1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2.75" customHeight="1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2.75" customHeight="1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2.75" customHeight="1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2.75" customHeight="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2.75" customHeight="1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2.75" customHeight="1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2.75" customHeight="1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2.75" customHeight="1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2.75" customHeight="1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2.75" customHeight="1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2.75" customHeight="1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2.75" customHeight="1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2.75" customHeight="1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2.75" customHeight="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2.75" customHeight="1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2.75" customHeight="1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2.75" customHeight="1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2.75" customHeight="1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2.75" customHeight="1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2.75" customHeight="1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2.75" customHeight="1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2.75" customHeight="1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2.75" customHeight="1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2.75" customHeight="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2.75" customHeight="1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2.75" customHeight="1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2.75" customHeight="1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2.75" customHeight="1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2.75" customHeight="1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2.75" customHeight="1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2.75" customHeight="1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2.75" customHeight="1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2.75" customHeight="1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mergeCells count="12">
    <mergeCell ref="B44:H44"/>
    <mergeCell ref="A8:A12"/>
    <mergeCell ref="A2:H2"/>
    <mergeCell ref="B4:D4"/>
    <mergeCell ref="A29:A35"/>
    <mergeCell ref="F4:H4"/>
    <mergeCell ref="A1:H1"/>
    <mergeCell ref="A14:A19"/>
    <mergeCell ref="A37:A41"/>
    <mergeCell ref="A21:A27"/>
    <mergeCell ref="B45:H45"/>
    <mergeCell ref="B46:H46"/>
  </mergeCells>
  <conditionalFormatting sqref="E13">
    <cfRule type="containsText" priority="1" operator="containsText" dxfId="2" text="Go">
      <formula>NOT(ISERROR(SEARCH(("Go"),(E13))))</formula>
    </cfRule>
    <cfRule type="containsText" priority="2" operator="containsText" dxfId="1" text="Pivot">
      <formula>NOT(ISERROR(SEARCH(("Pivot"),(E13))))</formula>
    </cfRule>
    <cfRule type="containsText" priority="3" operator="containsText" dxfId="0" text="No-Go">
      <formula>NOT(ISERROR(SEARCH(("No-Go"),(E13))))</formula>
    </cfRule>
  </conditionalFormatting>
  <conditionalFormatting sqref="F5">
    <cfRule type="containsText" priority="4" operator="containsText" dxfId="2" text="Go">
      <formula>NOT(ISERROR(SEARCH(("Go"),(F5))))</formula>
    </cfRule>
    <cfRule type="containsText" priority="5" operator="containsText" dxfId="1" text="Pivot">
      <formula>NOT(ISERROR(SEARCH(("Pivot"),(F5))))</formula>
    </cfRule>
    <cfRule type="containsText" priority="6" operator="containsText" dxfId="0" text="No-Go">
      <formula>NOT(ISERROR(SEARCH(("No-Go"),(F5))))</formula>
    </cfRule>
    <cfRule type="containsText" priority="7" operator="containsText" dxfId="2" text="Go">
      <formula>NOT(ISERROR(SEARCH(("Go"),(F5))))</formula>
    </cfRule>
    <cfRule type="containsText" priority="8" operator="containsText" dxfId="1" text="Pivot">
      <formula>NOT(ISERROR(SEARCH(("Pivot"),(F5))))</formula>
    </cfRule>
    <cfRule type="containsText" priority="9" operator="containsText" dxfId="0" text="No-Go">
      <formula>NOT(ISERROR(SEARCH(("No-Go"),(F5))))</formula>
    </cfRule>
  </conditionalFormatting>
  <dataValidations count="1">
    <dataValidation sqref="E13 E20 E28 E36 E42 F5" showDropDown="0" showInputMessage="0" showErrorMessage="1" allowBlank="1" type="list">
      <formula1>"Go,Pivot,No-Go"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shimadzu</dc:creator>
  <dcterms:created xsi:type="dcterms:W3CDTF">2026-07-10T03:39:46Z</dcterms:created>
  <dcterms:modified xsi:type="dcterms:W3CDTF">2026-07-10T04:26:27Z</dcterms:modified>
  <cp:lastModifiedBy>Umetsu, Takahiro/梅津 希裕</cp:lastModifiedBy>
</cp:coreProperties>
</file>